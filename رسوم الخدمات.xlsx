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C:\Users\04101690\Downloads\"/>
    </mc:Choice>
  </mc:AlternateContent>
  <xr:revisionPtr revIDLastSave="0" documentId="13_ncr:1_{B3104742-8429-45DC-827B-106A666BCFD5}" xr6:coauthVersionLast="47" xr6:coauthVersionMax="47" xr10:uidLastSave="{00000000-0000-0000-0000-000000000000}"/>
  <bookViews>
    <workbookView xWindow="-120" yWindow="-120" windowWidth="29040" windowHeight="15720" xr2:uid="{57C8F927-3991-4DED-B42D-F4A8297556D2}"/>
  </bookViews>
  <sheets>
    <sheet name="ورقة1" sheetId="1" r:id="rId1"/>
    <sheet name="ورقة2" sheetId="2" r:id="rId2"/>
    <sheet name="ورقة4" sheetId="4" r:id="rId3"/>
    <sheet name="ورقة5" sheetId="5"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121" i="4" l="1"/>
  <c r="P120" i="4"/>
  <c r="P119" i="4"/>
  <c r="P106" i="4"/>
  <c r="P105" i="4"/>
  <c r="P104" i="4"/>
  <c r="P116" i="4"/>
  <c r="P115" i="4"/>
  <c r="P114" i="4"/>
  <c r="P101" i="4"/>
  <c r="P100" i="4"/>
  <c r="P99" i="4"/>
  <c r="P111" i="4"/>
  <c r="P110" i="4"/>
  <c r="P109" i="4"/>
  <c r="P96" i="4"/>
  <c r="P95" i="4"/>
  <c r="P94" i="4"/>
  <c r="P84" i="4"/>
  <c r="P85" i="4"/>
  <c r="P86" i="4"/>
  <c r="P211" i="4"/>
  <c r="P210" i="4"/>
  <c r="P209" i="4"/>
  <c r="P206" i="4"/>
  <c r="P205" i="4"/>
  <c r="P204" i="4"/>
  <c r="P201" i="4"/>
  <c r="P200" i="4"/>
  <c r="P199" i="4"/>
  <c r="P196" i="4"/>
  <c r="P195" i="4"/>
  <c r="P194" i="4"/>
  <c r="P191" i="4"/>
  <c r="P190" i="4"/>
  <c r="P189" i="4"/>
  <c r="P186" i="4"/>
  <c r="P185" i="4"/>
  <c r="P184" i="4"/>
  <c r="P181" i="4"/>
  <c r="P180" i="4"/>
  <c r="P179" i="4"/>
  <c r="P176" i="4"/>
  <c r="P175" i="4"/>
  <c r="P174" i="4"/>
  <c r="P171" i="4"/>
  <c r="P170" i="4"/>
  <c r="P169" i="4"/>
  <c r="P166" i="4"/>
  <c r="P165" i="4"/>
  <c r="P164" i="4"/>
  <c r="P161" i="4"/>
  <c r="P160" i="4"/>
  <c r="P159" i="4"/>
  <c r="P156" i="4"/>
  <c r="P155" i="4"/>
  <c r="P154" i="4"/>
  <c r="P151" i="4"/>
  <c r="P150" i="4"/>
  <c r="P149" i="4"/>
  <c r="P146" i="4"/>
  <c r="P145" i="4"/>
  <c r="P144" i="4"/>
  <c r="P141" i="4"/>
  <c r="P140" i="4"/>
  <c r="P139" i="4"/>
  <c r="P136" i="4"/>
  <c r="P135" i="4"/>
  <c r="P134" i="4"/>
  <c r="P131" i="4"/>
  <c r="P130" i="4"/>
  <c r="P129" i="4"/>
  <c r="P126" i="4"/>
  <c r="P125" i="4"/>
  <c r="P124" i="4"/>
  <c r="P91" i="4"/>
  <c r="P90" i="4"/>
  <c r="P89" i="4"/>
  <c r="P81" i="4"/>
  <c r="P80" i="4"/>
  <c r="P79" i="4"/>
  <c r="P76" i="4"/>
  <c r="P75" i="4"/>
  <c r="P74" i="4"/>
  <c r="P71" i="4"/>
  <c r="P70" i="4"/>
  <c r="P69" i="4"/>
  <c r="P66" i="4"/>
  <c r="P65" i="4"/>
  <c r="P64" i="4"/>
  <c r="P61" i="4"/>
  <c r="P60" i="4"/>
  <c r="P59" i="4"/>
  <c r="P56" i="4"/>
  <c r="P55" i="4"/>
  <c r="P54" i="4"/>
  <c r="P51" i="4"/>
  <c r="P50" i="4"/>
  <c r="P49" i="4"/>
  <c r="P46" i="4"/>
  <c r="P45" i="4"/>
  <c r="P44" i="4"/>
  <c r="P41" i="4"/>
  <c r="P40" i="4"/>
  <c r="P39" i="4"/>
  <c r="P36" i="4"/>
  <c r="P35" i="4"/>
  <c r="P34" i="4"/>
  <c r="P31" i="4"/>
  <c r="P30" i="4"/>
  <c r="P29" i="4"/>
  <c r="P26" i="4"/>
  <c r="P25" i="4"/>
  <c r="P24" i="4"/>
  <c r="P21" i="4"/>
  <c r="P20" i="4"/>
  <c r="P19" i="4"/>
  <c r="P16" i="4"/>
  <c r="P15" i="4"/>
  <c r="P14" i="4"/>
  <c r="P13" i="4"/>
  <c r="P11" i="4"/>
  <c r="P10" i="4"/>
  <c r="P9" i="4"/>
  <c r="P8" i="4"/>
  <c r="L15" i="5"/>
  <c r="L13" i="5"/>
  <c r="L11" i="5"/>
  <c r="L9" i="5"/>
  <c r="L7" i="5"/>
  <c r="L5" i="5"/>
  <c r="L3" i="5"/>
  <c r="P3" i="4"/>
  <c r="P4" i="4"/>
  <c r="P5" i="4"/>
  <c r="P6" i="4"/>
  <c r="M11" i="2"/>
  <c r="M10" i="2"/>
  <c r="N10" i="2" s="1"/>
  <c r="M4" i="2"/>
  <c r="N4" i="2" s="1"/>
  <c r="M5" i="2"/>
  <c r="M6" i="2"/>
  <c r="N6" i="2" s="1"/>
  <c r="M7" i="2"/>
  <c r="M8" i="2"/>
  <c r="N8" i="2" s="1"/>
  <c r="M3" i="2"/>
  <c r="K5" i="2"/>
  <c r="K3" i="2"/>
  <c r="K18" i="2"/>
  <c r="K7" i="2"/>
  <c r="K9" i="2"/>
  <c r="K11" i="2"/>
  <c r="K13" i="2"/>
  <c r="K15" i="2"/>
  <c r="K20" i="2"/>
  <c r="K22" i="2"/>
  <c r="K24" i="2"/>
  <c r="K26" i="2"/>
  <c r="K28" i="2"/>
  <c r="K30" i="2"/>
  <c r="N7" i="2" l="1"/>
  <c r="N11" i="2"/>
  <c r="N3" i="2"/>
  <c r="N5" i="2"/>
</calcChain>
</file>

<file path=xl/sharedStrings.xml><?xml version="1.0" encoding="utf-8"?>
<sst xmlns="http://schemas.openxmlformats.org/spreadsheetml/2006/main" count="813" uniqueCount="138">
  <si>
    <t>✈️ خدمات التأشيرات | YOVISA</t>
  </si>
  <si>
    <t>⭐ تجهيز ملف التأشيرة VIP PRO</t>
  </si>
  <si>
    <t>تجربة متكاملة من تجهيز الملف حتى متابعة الطلب</t>
  </si>
  <si>
    <t>تشمل الخدمة:</t>
  </si>
  <si>
    <t>حجز موعد التأشيرة.</t>
  </si>
  <si>
    <t>حجز فندقي مناسب للرحلة.</t>
  </si>
  <si>
    <t>حجز تذكرة سفر مبدئية.</t>
  </si>
  <si>
    <t>إصدار التأمين الطبي للسفر.</t>
  </si>
  <si>
    <t>طباعة وترتيب ملف التأشيرة.</t>
  </si>
  <si>
    <t>تسليم الملف نيابةً عن العميل في مركز التأشيرات، حسب الشروط والإجراءات المعمول بها.</t>
  </si>
  <si>
    <t>متابعة حالة الطلب حتى صدور القرار.</t>
  </si>
  <si>
    <t xml:space="preserve">YOVISA VIP PRO — راحتك تبدأ من أول </t>
  </si>
  <si>
    <t>👑 تجهيز ملف التأشيرة VIP</t>
  </si>
  <si>
    <t>خدمة احترافية لتجهيز طلبك بكل سهولة</t>
  </si>
  <si>
    <t>مع خدمة VIP من YOVISA، نساعدك على تجهيز متطلبات ملف التأشيرة وتنظيمها بطريقة عملية، من حجز الموعد وحتى تسليم الملف في مركز التأشيرات، مع متابعة حالة الطلب.</t>
  </si>
  <si>
    <t>حجز فندق.</t>
  </si>
  <si>
    <t>التأمين الطبي للسفر.</t>
  </si>
  <si>
    <t>طباعة وترتيب الملف.</t>
  </si>
  <si>
    <t>تسليم الملف للعميل في مركز التأشيرات.</t>
  </si>
  <si>
    <t>اختيارك الذكي عندما تبحث عن الراحة والتنظيم.</t>
  </si>
  <si>
    <t>📄 تجهيز ملف التأشيرة</t>
  </si>
  <si>
    <t>ملفك جاهز للتقديم بطريقة منظمة واحترافية</t>
  </si>
  <si>
    <t>نوفر لك خدمة تجهيز ملف التأشيرة وترتيب المتطلبات الأساسية، لتتمكن من تقديم طلبك بصورة أكثر تنظيمًا ووضوحًا، مع متابعة حالة الطلب.</t>
  </si>
  <si>
    <t>حجز فندقي.</t>
  </si>
  <si>
    <t>طباعة وتجهيز الملف.</t>
  </si>
  <si>
    <t>إرسال الملف إليك عبر الواتساب أو البريد الإلكتروني.</t>
  </si>
  <si>
    <t>YOVISA — نرتب التفاصيل، وأنت ركّز على رحلتك.</t>
  </si>
  <si>
    <t>📅 حجز موعد تأشيرة عادي</t>
  </si>
  <si>
    <t>خدمة VIP PRO مصممة لمن يبحث عن أعلى مستوى من الراحة والدعم في إجراءات التأشيرة. نتولى تجهيز ملفك وترتيب مستنداته وحجوزاته، مع تسليم الطلب نيابةً عنك في مركز التأشيرات لمن تنطبق عليه الشروط، ثم متابعة حالة الطلب حتى صدور القرار.</t>
  </si>
  <si>
    <t>موعدك يبدأ بخطوة بسيطة</t>
  </si>
  <si>
    <t>خدمة مخصصة للعملاء الذين يحتاجون إلى حجز موعد التأشيرة فقط، دون خدمات تجهيز الملف أو الحجوزات الإضافية.</t>
  </si>
  <si>
    <t>رسوم حجز الموعد فقط.</t>
  </si>
  <si>
    <t>مناسبة لمن لديه ملفه جاهز ويحتاج إلى الموعد فقط.</t>
  </si>
  <si>
    <t>👑 حجز موعد تأشيرة VIP</t>
  </si>
  <si>
    <t>أولوية وراحة أكبر في تجربة حجز الموعد</t>
  </si>
  <si>
    <t>خدمة مخصصة لحجز موعد التأشيرة ضمن فئة VIP، وفق المواعيد والخدمات المتاحة لدى مركز التأشيرات.</t>
  </si>
  <si>
    <t>رسوم حجز موعد VIP فقط.</t>
  </si>
  <si>
    <t>خيار مناسب لمن يبحث عن تجربة أكثر راحة وتميزًا.</t>
  </si>
  <si>
    <t>🛡️ تأمين طبي للسفر</t>
  </si>
  <si>
    <t>سافر وأنت مطمئن</t>
  </si>
  <si>
    <t>إصدار وثيقة تأمين طبي للسفر وفق متطلبات وجهتك، لتكون جاهزًا لاستكمال إجراءات السفر أو متطلبات التأشيرة.</t>
  </si>
  <si>
    <t>إصدار التأمين الطبي للسفر فقط.</t>
  </si>
  <si>
    <t>🌍 رخص القيادة الدولية | YOVISA</t>
  </si>
  <si>
    <t>خدمة متكاملة حتى بابك</t>
  </si>
  <si>
    <t>استمتع بخدمة إصدار رخصة القيادة الدولية مع مستوى أعلى من الراحة، بدءًا من تجهيز الصورة وحتى إصدار الرخصة وتسليمها في مقر العميل.</t>
  </si>
  <si>
    <t>تجهيز وطباعة الصورة.</t>
  </si>
  <si>
    <t>إصدار رخصة القيادة الدولية.</t>
  </si>
  <si>
    <t>تسليم الرخصة للعميل في مقره.</t>
  </si>
  <si>
    <t>VIP PRO من YOVISA — إصدار أسهل، وخدمة تصل إليك.</t>
  </si>
  <si>
    <t>🏆 رخصة قيادة دولية كرت VIP PRO</t>
  </si>
  <si>
    <t>⭐ رخصة قيادة دولية كرت VIP</t>
  </si>
  <si>
    <t>إصدار رخصتك الدولية بكل سهولة</t>
  </si>
  <si>
    <t>خدمة متكاملة تشمل تجهيز الصورة وإصدار رخصة القيادة الدولية، مع تسليمها للعميل.</t>
  </si>
  <si>
    <t>طباعة الصورة.</t>
  </si>
  <si>
    <t>إصدار الرخصة.</t>
  </si>
  <si>
    <t>تسليم الرخصة للعميل.</t>
  </si>
  <si>
    <t>🪪 رخصة قيادة دولية كرت</t>
  </si>
  <si>
    <t>الخيار العملي لإصدار رخصتك الدولية</t>
  </si>
  <si>
    <t>إذا كنت تحتاج إلى إصدار رخصة قيادة دولية فقط، فهذا الخيار مناسب لك.</t>
  </si>
  <si>
    <t>إصدار رخصة القيادة الدولية فقط.</t>
  </si>
  <si>
    <t>🪪 رخصة قيادة دولية بطاقة – VIP PRO</t>
  </si>
  <si>
    <t>إصدار الرخصة مع توصيلها إليك</t>
  </si>
  <si>
    <t>نوفر لك إصدار رخصة القيادة الدولية مع خدمة التسليم إلى مقر العميل، لتستلمها بكل سهولة.</t>
  </si>
  <si>
    <t>تسليمها للعميل في مقره.</t>
  </si>
  <si>
    <t>🪪 رخصة قيادة دولية بطاقة – تسليم</t>
  </si>
  <si>
    <t>رخصتك الدولية أقرب إليك</t>
  </si>
  <si>
    <t>خدمة إصدار رخصة القيادة الدولية مع توفير خدمة التسليم للعميل.</t>
  </si>
  <si>
    <t>🏨 حجوزات السفر | YOVISA</t>
  </si>
  <si>
    <t>🏨 حجز فندقي</t>
  </si>
  <si>
    <t>حجزك الفندقي بطريقة سهلة ومنظمة</t>
  </si>
  <si>
    <t>نوفر خدمة تنفيذ الحجوزات الفندقية وفق تفاصيل رحلتك واحتياجاتك، سواء للسفر أو لاستكمال متطلبات ملف التأشيرة.</t>
  </si>
  <si>
    <t>تنفيذ الحجز الفندقي.</t>
  </si>
  <si>
    <t>اختيار الحجز وفق البيانات التي يقدمها العميل.</t>
  </si>
  <si>
    <t>✈️ حجز تذكرة طيران</t>
  </si>
  <si>
    <t>رتّب رحلتك بخطوة واحدة</t>
  </si>
  <si>
    <t>نوفر خدمة تنفيذ حجز تذكرة الطيران وفق تفاصيل الرحلة المطلوبة، بما يتناسب مع احتياجات السفر أو متطلبات ملف التأشيرة.</t>
  </si>
  <si>
    <t>تنفيذ حجز تذكرة الطيران.</t>
  </si>
  <si>
    <t>تجهيز بيانات الحجز حسب المعلومات المقدمة من العميل.</t>
  </si>
  <si>
    <t>YOVISA | نرتّب لك إجراءات السفر، لتتفرغ أنت لرحلتك.</t>
  </si>
  <si>
    <t>خدمات سفر وتأشيرات مصممة لتمنحك تجربة أكثر سهولة وتنظيمًا وراحة.</t>
  </si>
  <si>
    <r>
      <t>مهم:</t>
    </r>
    <r>
      <rPr>
        <sz val="11"/>
        <color theme="4" tint="-0.499984740745262"/>
        <rFont val="Calibri"/>
        <family val="2"/>
        <scheme val="minor"/>
      </rPr>
      <t xml:space="preserve"> قيمة السعر المعروض هي </t>
    </r>
    <r>
      <rPr>
        <b/>
        <sz val="11"/>
        <color theme="4" tint="-0.499984740745262"/>
        <rFont val="Calibri"/>
        <family val="2"/>
        <scheme val="minor"/>
      </rPr>
      <t>رسوم الخدمة فقط</t>
    </r>
    <r>
      <rPr>
        <sz val="11"/>
        <color theme="4" tint="-0.499984740745262"/>
        <rFont val="Calibri"/>
        <family val="2"/>
        <scheme val="minor"/>
      </rPr>
      <t xml:space="preserve"> ولا تشمل قيمة الإقامة أو مبلغ الحجز الفندقي.</t>
    </r>
  </si>
  <si>
    <r>
      <t>مهم:</t>
    </r>
    <r>
      <rPr>
        <sz val="11"/>
        <color theme="4" tint="-0.499984740745262"/>
        <rFont val="Calibri"/>
        <family val="2"/>
        <scheme val="minor"/>
      </rPr>
      <t xml:space="preserve"> قيمة السعر المعروض هي </t>
    </r>
    <r>
      <rPr>
        <b/>
        <sz val="11"/>
        <color theme="4" tint="-0.499984740745262"/>
        <rFont val="Calibri"/>
        <family val="2"/>
        <scheme val="minor"/>
      </rPr>
      <t>رسوم الخدمة فقط</t>
    </r>
    <r>
      <rPr>
        <sz val="11"/>
        <color theme="4" tint="-0.499984740745262"/>
        <rFont val="Calibri"/>
        <family val="2"/>
        <scheme val="minor"/>
      </rPr>
      <t xml:space="preserve"> ولا تشمل قيمة تذكرة الطيران.</t>
    </r>
  </si>
  <si>
    <t>رسوم الخدمات</t>
  </si>
  <si>
    <t>رسوم الخدمة الأساسية</t>
  </si>
  <si>
    <t>🏠 الزيارة المنزلية | YOVISA</t>
  </si>
  <si>
    <r>
      <t xml:space="preserve">خدمة متكاملة تجمع بين </t>
    </r>
    <r>
      <rPr>
        <b/>
        <sz val="11"/>
        <color theme="1"/>
        <rFont val="Calibri"/>
        <family val="2"/>
        <scheme val="minor"/>
      </rPr>
      <t>تجهيز ملف التأشيرة ومتابعته</t>
    </r>
    <r>
      <rPr>
        <sz val="11"/>
        <color theme="1"/>
        <rFont val="Calibri"/>
        <family val="2"/>
        <scheme val="minor"/>
      </rPr>
      <t xml:space="preserve"> مع حجز خدمة التقديم المنزلي من مركز التأشيرات، لتوفير تجربة أكثر راحة للعميل المؤهل لهذه الخدمة.</t>
    </r>
  </si>
  <si>
    <r>
      <t xml:space="preserve">نقوم بتجهيز ملف التأشيرة والحجوزات والتأمين وترتيب جميع المستندات المطلوبة، ثم حجز الموعد المنزلي لدى مركز التأشيرات. وفي الموعد المحدد، تتم إجراءات تقديم الطلب </t>
    </r>
    <r>
      <rPr>
        <b/>
        <sz val="11"/>
        <color theme="1"/>
        <rFont val="Calibri"/>
        <family val="2"/>
        <scheme val="minor"/>
      </rPr>
      <t>في موقع العميل من خلال ممثل مركز التأشيرات</t>
    </r>
    <r>
      <rPr>
        <sz val="11"/>
        <color theme="1"/>
        <rFont val="Calibri"/>
        <family val="2"/>
        <scheme val="minor"/>
      </rPr>
      <t xml:space="preserve"> وفق الأنظمة والإجراءات المعتمدة.</t>
    </r>
  </si>
  <si>
    <t>تجهيز وترتيب ملف التأشيرة.</t>
  </si>
  <si>
    <t>حجز موعد خدمة التقديم المنزلي لدى مركز التأشيرات.</t>
  </si>
  <si>
    <t>حجز فندقي مبدئي.</t>
  </si>
  <si>
    <t>طباعة وتجهيز كامل الملف.</t>
  </si>
  <si>
    <t>تنسيق موعد الزيارة المنزلية مع مركز التأشيرات.</t>
  </si>
  <si>
    <t>حضور ممثل مركز التأشيرات إلى موقع العميل في الموعد المحدد.</t>
  </si>
  <si>
    <r>
      <t xml:space="preserve">تقديم الطلب واستكمال إجراءات البصمة والبيانات الحيوية، </t>
    </r>
    <r>
      <rPr>
        <b/>
        <sz val="11"/>
        <color theme="1"/>
        <rFont val="Calibri"/>
        <family val="2"/>
        <scheme val="minor"/>
      </rPr>
      <t>بحسب ما ينطبق على حالة العميل وإجراءات المركز</t>
    </r>
    <r>
      <rPr>
        <sz val="11"/>
        <color theme="1"/>
        <rFont val="Calibri"/>
        <family val="2"/>
        <scheme val="minor"/>
      </rPr>
      <t>.</t>
    </r>
  </si>
  <si>
    <t>إبلاغ العميل بمستجدات الطلب.</t>
  </si>
  <si>
    <t>🏠 تجهيز ملف التأشيرة + موعد منزلي VIP PRO</t>
  </si>
  <si>
    <t>خدمات إضافية</t>
  </si>
  <si>
    <t>الاجمالى</t>
  </si>
  <si>
    <t>رسوم التاشيرة</t>
  </si>
  <si>
    <t>رسوم الموعد</t>
  </si>
  <si>
    <t>تجهيز الملف</t>
  </si>
  <si>
    <t>التامين الطبي</t>
  </si>
  <si>
    <t>طباعة مع التسليم</t>
  </si>
  <si>
    <t>تدقيق الأوراق</t>
  </si>
  <si>
    <t>عادي</t>
  </si>
  <si>
    <t>VIP</t>
  </si>
  <si>
    <t>نسبة الخصم</t>
  </si>
  <si>
    <t>قيمة الخصم</t>
  </si>
  <si>
    <t>الإجمالي بعد الخصم</t>
  </si>
  <si>
    <t>لا ينطبق</t>
  </si>
  <si>
    <t>رسوم الخدمة</t>
  </si>
  <si>
    <t>الرخصة</t>
  </si>
  <si>
    <t>طباعة الصورة</t>
  </si>
  <si>
    <t>التوصيل</t>
  </si>
  <si>
    <t>#</t>
  </si>
  <si>
    <t>البالغين</t>
  </si>
  <si>
    <t>من 6 - 12 سنوات</t>
  </si>
  <si>
    <t>اقل من 6 سنوات</t>
  </si>
  <si>
    <t>الدولة</t>
  </si>
  <si>
    <t>الفئة العمرية</t>
  </si>
  <si>
    <t>شنغن فرنسا</t>
  </si>
  <si>
    <t>طباعة صورة</t>
  </si>
  <si>
    <t>شنغن البرتغال</t>
  </si>
  <si>
    <t>شنغن السويد</t>
  </si>
  <si>
    <t>رسوم الشحن</t>
  </si>
  <si>
    <t>شنغن فنلندا</t>
  </si>
  <si>
    <t>شنغن النرويج</t>
  </si>
  <si>
    <t>شنغن النمسا</t>
  </si>
  <si>
    <t>شنغن استونيا</t>
  </si>
  <si>
    <t>شنغن سلوفينيا</t>
  </si>
  <si>
    <t>شنغن اليونان</t>
  </si>
  <si>
    <t>شنغن ايرلندا</t>
  </si>
  <si>
    <t>مفرد</t>
  </si>
  <si>
    <t>متعدد</t>
  </si>
  <si>
    <t>شنغن التشيك</t>
  </si>
  <si>
    <t>شنغن سويسرا</t>
  </si>
  <si>
    <t>شنغن هولندا</t>
  </si>
  <si>
    <t>شنغن تركيا</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</si>
</sst>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font>
      <sz val="11"/>
      <color theme="1"/>
      <name val="Calibri"/>
      <family val="2"/>
      <scheme val="minor"/>
    </font>
    <font>
      <b/>
      <sz val="11"/>
      <color theme="1"/>
      <name val="Calibri"/>
      <family val="2"/>
      <scheme val="minor"/>
    </font>
    <font>
      <b/>
      <i/>
      <sz val="11"/>
      <color theme="4" tint="0.39997558519241921"/>
      <name val="Calibri"/>
      <family val="2"/>
      <scheme val="minor"/>
    </font>
    <font>
      <b/>
      <i/>
      <sz val="11"/>
      <color theme="4" tint="-0.499984740745262"/>
      <name val="Calibri"/>
      <family val="2"/>
      <scheme val="minor"/>
    </font>
    <font>
      <b/>
      <i/>
      <sz val="18"/>
      <color theme="4" tint="-0.499984740745262"/>
      <name val="Calibri"/>
      <family val="2"/>
      <scheme val="minor"/>
    </font>
    <font>
      <b/>
      <sz val="11"/>
      <color theme="4" tint="-0.499984740745262"/>
      <name val="Calibri"/>
      <family val="2"/>
      <scheme val="minor"/>
    </font>
    <font>
      <sz val="11"/>
      <color theme="4" tint="-0.499984740745262"/>
      <name val="Calibri"/>
      <family val="2"/>
      <scheme val="minor"/>
    </font>
    <font>
      <b/>
      <i/>
      <sz val="13.5"/>
      <color theme="4" tint="-0.499984740745262"/>
      <name val="Calibri"/>
      <family val="2"/>
      <scheme val="minor"/>
    </font>
    <font>
      <b/>
      <sz val="13.5"/>
      <color theme="4" tint="-0.499984740745262"/>
      <name val="Calibri"/>
      <family val="2"/>
      <scheme val="minor"/>
    </font>
    <font>
      <sz val="16"/>
      <color theme="4" tint="-0.499984740745262"/>
      <name val="Calibri"/>
      <family val="2"/>
      <scheme val="minor"/>
    </font>
    <font>
      <sz val="11"/>
      <color rgb="FF212529"/>
      <name val="Inter UI"/>
    </font>
    <font>
      <b/>
      <i/>
      <sz val="11"/>
      <color theme="5"/>
      <name val="Calibri"/>
      <family val="2"/>
      <scheme val="minor"/>
    </font>
    <font>
      <b/>
      <i/>
      <sz val="11"/>
      <color theme="1" tint="0.14999847407452621"/>
      <name val="Calibri"/>
      <family val="2"/>
      <scheme val="minor"/>
    </font>
    <font>
      <b/>
      <i/>
      <sz val="12"/>
      <color rgb="FFC00000"/>
      <name val="Calibri"/>
      <family val="2"/>
      <scheme val="minor"/>
    </font>
    <font>
      <b/>
      <i/>
      <sz val="11"/>
      <color rgb="FFC00000"/>
      <name val="Calibri"/>
      <family val="2"/>
      <scheme val="minor"/>
    </font>
    <font>
      <b/>
      <i/>
      <sz val="13.5"/>
      <color rgb="FFC00000"/>
      <name val="Calibri"/>
      <family val="2"/>
      <scheme val="minor"/>
    </font>
  </fonts>
  <fills count="10">
    <fill>
      <patternFill patternType="none"/>
    </fill>
    <fill>
      <patternFill patternType="gray125"/>
    </fill>
    <fill>
      <patternFill patternType="solid">
        <fgColor theme="9" tint="0.59999389629810485"/>
        <bgColor indexed="64"/>
      </patternFill>
    </fill>
    <fill>
      <patternFill patternType="solid">
        <fgColor theme="9" tint="0.79998168889431442"/>
        <bgColor indexed="64"/>
      </patternFill>
    </fill>
    <fill>
      <patternFill patternType="solid">
        <fgColor theme="4" tint="0.79998168889431442"/>
        <bgColor indexed="64"/>
      </patternFill>
    </fill>
    <fill>
      <patternFill patternType="solid">
        <fgColor theme="1" tint="0.499984740745262"/>
        <bgColor indexed="64"/>
      </patternFill>
    </fill>
    <fill>
      <patternFill patternType="solid">
        <fgColor theme="4" tint="0.39997558519241921"/>
        <bgColor indexed="64"/>
      </patternFill>
    </fill>
    <fill>
      <patternFill patternType="solid">
        <fgColor theme="0"/>
        <bgColor indexed="64"/>
      </patternFill>
    </fill>
    <fill>
      <patternFill patternType="solid">
        <fgColor theme="0" tint="-4.9989318521683403E-2"/>
        <bgColor indexed="64"/>
      </patternFill>
    </fill>
    <fill>
      <patternFill patternType="solid">
        <fgColor theme="0" tint="-0.249977111117893"/>
        <bgColor indexed="64"/>
      </patternFill>
    </fill>
  </fills>
  <borders count="13">
    <border>
      <left/>
      <right/>
      <top/>
      <bottom/>
      <diagonal/>
    </border>
    <border>
      <left style="medium">
        <color indexed="64"/>
      </left>
      <right/>
      <top style="medium">
        <color indexed="64"/>
      </top>
      <bottom/>
      <diagonal/>
    </border>
    <border>
      <left/>
      <right style="medium">
        <color indexed="64"/>
      </right>
      <top style="medium">
        <color indexed="64"/>
      </top>
      <bottom/>
      <diagonal/>
    </border>
    <border>
      <left/>
      <right style="medium">
        <color indexed="64"/>
      </right>
      <top/>
      <bottom/>
      <diagonal/>
    </border>
    <border>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right/>
      <top style="thin">
        <color indexed="64"/>
      </top>
      <bottom style="thin">
        <color indexed="64"/>
      </bottom>
      <diagonal/>
    </border>
  </borders>
  <cellStyleXfs count="1">
    <xf numFmtId="0" fontId="0" fillId="0" borderId="0"/>
  </cellStyleXfs>
  <cellXfs count="84">
    <xf numFmtId="0" fontId="0" fillId="0" borderId="0" xfId="0"/>
    <xf numFmtId="0" fontId="1" fillId="0" borderId="0" xfId="0" applyFont="1"/>
    <xf numFmtId="0" fontId="2" fillId="0" borderId="0" xfId="0" applyFont="1" applyAlignment="1">
      <alignment horizontal="right"/>
    </xf>
    <xf numFmtId="0" fontId="2" fillId="0" borderId="0" xfId="0" applyFont="1" applyAlignment="1">
      <alignment horizontal="center"/>
    </xf>
    <xf numFmtId="0" fontId="3" fillId="2" borderId="0" xfId="0" applyFont="1" applyFill="1" applyAlignment="1">
      <alignment horizontal="center"/>
    </xf>
    <xf numFmtId="0" fontId="3" fillId="2" borderId="0" xfId="0" applyFont="1" applyFill="1" applyAlignment="1">
      <alignment horizontal="right"/>
    </xf>
    <xf numFmtId="0" fontId="3" fillId="2" borderId="2" xfId="0" applyFont="1" applyFill="1" applyBorder="1" applyAlignment="1">
      <alignment horizontal="right"/>
    </xf>
    <xf numFmtId="0" fontId="3" fillId="2" borderId="3" xfId="0" applyFont="1" applyFill="1" applyBorder="1" applyAlignment="1">
      <alignment horizontal="right"/>
    </xf>
    <xf numFmtId="0" fontId="3" fillId="2" borderId="3" xfId="0" applyFont="1" applyFill="1" applyBorder="1" applyAlignment="1">
      <alignment horizontal="right" vertical="center"/>
    </xf>
    <xf numFmtId="0" fontId="3" fillId="2" borderId="4" xfId="0" applyFont="1" applyFill="1" applyBorder="1" applyAlignment="1">
      <alignment horizontal="right"/>
    </xf>
    <xf numFmtId="0" fontId="5" fillId="2" borderId="2" xfId="0" applyFont="1" applyFill="1" applyBorder="1" applyAlignment="1">
      <alignment horizontal="right"/>
    </xf>
    <xf numFmtId="0" fontId="6" fillId="2" borderId="3" xfId="0" applyFont="1" applyFill="1" applyBorder="1" applyAlignment="1">
      <alignment horizontal="right"/>
    </xf>
    <xf numFmtId="0" fontId="5" fillId="2" borderId="3" xfId="0" applyFont="1" applyFill="1" applyBorder="1" applyAlignment="1">
      <alignment horizontal="right"/>
    </xf>
    <xf numFmtId="0" fontId="6" fillId="2" borderId="3" xfId="0" applyFont="1" applyFill="1" applyBorder="1" applyAlignment="1">
      <alignment horizontal="right" vertical="center"/>
    </xf>
    <xf numFmtId="0" fontId="5" fillId="2" borderId="4" xfId="0" applyFont="1" applyFill="1" applyBorder="1" applyAlignment="1">
      <alignment horizontal="right"/>
    </xf>
    <xf numFmtId="0" fontId="6" fillId="2" borderId="0" xfId="0" applyFont="1" applyFill="1" applyAlignment="1">
      <alignment horizontal="center"/>
    </xf>
    <xf numFmtId="0" fontId="6" fillId="2" borderId="4" xfId="0" applyFont="1" applyFill="1" applyBorder="1" applyAlignment="1">
      <alignment horizontal="right" vertical="center"/>
    </xf>
    <xf numFmtId="0" fontId="6" fillId="2" borderId="3" xfId="0" applyFont="1" applyFill="1" applyBorder="1" applyAlignment="1">
      <alignment horizontal="right" vertical="center" indent="1"/>
    </xf>
    <xf numFmtId="0" fontId="6" fillId="2" borderId="4" xfId="0" applyFont="1" applyFill="1" applyBorder="1" applyAlignment="1">
      <alignment horizontal="right" vertical="center" indent="1"/>
    </xf>
    <xf numFmtId="0" fontId="5" fillId="2" borderId="2" xfId="0" applyFont="1" applyFill="1" applyBorder="1"/>
    <xf numFmtId="0" fontId="6" fillId="2" borderId="3" xfId="0" applyFont="1" applyFill="1" applyBorder="1"/>
    <xf numFmtId="0" fontId="3" fillId="3" borderId="0" xfId="0" applyFont="1" applyFill="1" applyAlignment="1">
      <alignment horizontal="center"/>
    </xf>
    <xf numFmtId="0" fontId="6" fillId="3" borderId="0" xfId="0" applyFont="1" applyFill="1" applyAlignment="1">
      <alignment horizontal="right" vertical="center"/>
    </xf>
    <xf numFmtId="0" fontId="3" fillId="3" borderId="0" xfId="0" applyFont="1" applyFill="1" applyAlignment="1">
      <alignment horizontal="right"/>
    </xf>
    <xf numFmtId="0" fontId="7" fillId="3" borderId="1" xfId="0" applyFont="1" applyFill="1" applyBorder="1" applyAlignment="1">
      <alignment horizontal="center" vertical="center"/>
    </xf>
    <xf numFmtId="0" fontId="7" fillId="3" borderId="6" xfId="0" applyFont="1" applyFill="1" applyBorder="1" applyAlignment="1">
      <alignment vertical="center"/>
    </xf>
    <xf numFmtId="0" fontId="6" fillId="3" borderId="0" xfId="0" applyFont="1" applyFill="1" applyAlignment="1">
      <alignment horizontal="right" vertical="center" indent="1"/>
    </xf>
    <xf numFmtId="0" fontId="4" fillId="2" borderId="0" xfId="0" applyFont="1" applyFill="1" applyAlignment="1">
      <alignment horizontal="center"/>
    </xf>
    <xf numFmtId="0" fontId="5" fillId="2" borderId="0" xfId="0" applyFont="1" applyFill="1" applyAlignment="1">
      <alignment horizontal="center" vertical="center"/>
    </xf>
    <xf numFmtId="0" fontId="6" fillId="2" borderId="0" xfId="0" applyFont="1" applyFill="1" applyAlignment="1">
      <alignment horizontal="center" vertical="center"/>
    </xf>
    <xf numFmtId="0" fontId="1" fillId="0" borderId="0" xfId="0" applyFont="1" applyAlignment="1">
      <alignment horizontal="right"/>
    </xf>
    <xf numFmtId="0" fontId="0" fillId="0" borderId="0" xfId="0" applyAlignment="1">
      <alignment horizontal="right" vertical="center" indent="1"/>
    </xf>
    <xf numFmtId="0" fontId="0" fillId="0" borderId="0" xfId="0" applyAlignment="1">
      <alignment horizontal="right"/>
    </xf>
    <xf numFmtId="0" fontId="0" fillId="0" borderId="0" xfId="0" applyAlignment="1">
      <alignment horizontal="center"/>
    </xf>
    <xf numFmtId="0" fontId="3" fillId="2" borderId="8" xfId="0" applyFont="1" applyFill="1" applyBorder="1" applyAlignment="1">
      <alignment horizontal="right"/>
    </xf>
    <xf numFmtId="0" fontId="3" fillId="2" borderId="8" xfId="0" applyFont="1" applyFill="1" applyBorder="1" applyAlignment="1">
      <alignment horizontal="center"/>
    </xf>
    <xf numFmtId="0" fontId="7" fillId="2" borderId="8" xfId="0" applyFont="1" applyFill="1" applyBorder="1" applyAlignment="1">
      <alignment horizontal="right" vertical="center"/>
    </xf>
    <xf numFmtId="0" fontId="7" fillId="2" borderId="8" xfId="0" applyFont="1" applyFill="1" applyBorder="1" applyAlignment="1">
      <alignment horizontal="center" vertical="center"/>
    </xf>
    <xf numFmtId="0" fontId="3" fillId="3" borderId="8" xfId="0" applyFont="1" applyFill="1" applyBorder="1" applyAlignment="1">
      <alignment horizontal="right"/>
    </xf>
    <xf numFmtId="0" fontId="0" fillId="3" borderId="8" xfId="0" applyFill="1" applyBorder="1" applyAlignment="1">
      <alignment horizontal="center"/>
    </xf>
    <xf numFmtId="0" fontId="3" fillId="3" borderId="8" xfId="0" applyFont="1" applyFill="1" applyBorder="1" applyAlignment="1">
      <alignment horizontal="center"/>
    </xf>
    <xf numFmtId="0" fontId="7" fillId="3" borderId="8" xfId="0" applyFont="1" applyFill="1" applyBorder="1" applyAlignment="1">
      <alignment horizontal="right" vertical="center"/>
    </xf>
    <xf numFmtId="0" fontId="0" fillId="3" borderId="8" xfId="0" applyFill="1" applyBorder="1" applyAlignment="1">
      <alignment horizontal="right"/>
    </xf>
    <xf numFmtId="0" fontId="3" fillId="2" borderId="9" xfId="0" applyFont="1" applyFill="1" applyBorder="1" applyAlignment="1">
      <alignment horizontal="center"/>
    </xf>
    <xf numFmtId="0" fontId="3" fillId="2" borderId="10" xfId="0" applyFont="1" applyFill="1" applyBorder="1" applyAlignment="1">
      <alignment horizontal="center"/>
    </xf>
    <xf numFmtId="0" fontId="3" fillId="2" borderId="11" xfId="0" applyFont="1" applyFill="1" applyBorder="1" applyAlignment="1">
      <alignment horizontal="center"/>
    </xf>
    <xf numFmtId="0" fontId="3" fillId="4" borderId="8" xfId="0" applyFont="1" applyFill="1" applyBorder="1" applyAlignment="1">
      <alignment horizontal="center"/>
    </xf>
    <xf numFmtId="0" fontId="7" fillId="4" borderId="8" xfId="0" applyFont="1" applyFill="1" applyBorder="1" applyAlignment="1">
      <alignment horizontal="center" vertical="center"/>
    </xf>
    <xf numFmtId="0" fontId="0" fillId="4" borderId="8" xfId="0" applyFill="1" applyBorder="1" applyAlignment="1">
      <alignment horizontal="center"/>
    </xf>
    <xf numFmtId="0" fontId="0" fillId="4" borderId="0" xfId="0" applyFill="1" applyAlignment="1">
      <alignment horizontal="center"/>
    </xf>
    <xf numFmtId="0" fontId="0" fillId="4" borderId="0" xfId="0" applyFill="1"/>
    <xf numFmtId="0" fontId="3" fillId="5" borderId="8" xfId="0" applyFont="1" applyFill="1" applyBorder="1" applyAlignment="1">
      <alignment horizontal="right"/>
    </xf>
    <xf numFmtId="0" fontId="3" fillId="5" borderId="8" xfId="0" applyFont="1" applyFill="1" applyBorder="1" applyAlignment="1">
      <alignment horizontal="center"/>
    </xf>
    <xf numFmtId="0" fontId="10" fillId="0" borderId="0" xfId="0" applyFont="1"/>
    <xf numFmtId="0" fontId="11" fillId="0" borderId="0" xfId="0" applyFont="1" applyAlignment="1">
      <alignment horizontal="right"/>
    </xf>
    <xf numFmtId="0" fontId="11" fillId="0" borderId="0" xfId="0" applyFont="1" applyAlignment="1">
      <alignment horizontal="center"/>
    </xf>
    <xf numFmtId="0" fontId="12" fillId="6" borderId="8" xfId="0" applyFont="1" applyFill="1" applyBorder="1" applyAlignment="1">
      <alignment horizontal="right"/>
    </xf>
    <xf numFmtId="0" fontId="12" fillId="0" borderId="0" xfId="0" applyFont="1" applyAlignment="1">
      <alignment horizontal="right"/>
    </xf>
    <xf numFmtId="0" fontId="12" fillId="0" borderId="0" xfId="0" applyFont="1" applyAlignment="1">
      <alignment horizontal="center"/>
    </xf>
    <xf numFmtId="0" fontId="12" fillId="0" borderId="8" xfId="0" applyFont="1" applyBorder="1" applyAlignment="1">
      <alignment horizontal="center"/>
    </xf>
    <xf numFmtId="0" fontId="12" fillId="7" borderId="8" xfId="0" applyFont="1" applyFill="1" applyBorder="1" applyAlignment="1">
      <alignment horizontal="center"/>
    </xf>
    <xf numFmtId="0" fontId="13" fillId="2" borderId="8" xfId="0" applyFont="1" applyFill="1" applyBorder="1" applyAlignment="1">
      <alignment horizontal="center"/>
    </xf>
    <xf numFmtId="0" fontId="14" fillId="8" borderId="8" xfId="0" applyFont="1" applyFill="1" applyBorder="1" applyAlignment="1">
      <alignment horizontal="center"/>
    </xf>
    <xf numFmtId="0" fontId="15" fillId="8" borderId="8" xfId="0" applyFont="1" applyFill="1" applyBorder="1" applyAlignment="1">
      <alignment horizontal="right" vertical="center"/>
    </xf>
    <xf numFmtId="0" fontId="14" fillId="6" borderId="8" xfId="0" applyFont="1" applyFill="1" applyBorder="1" applyAlignment="1">
      <alignment horizontal="right"/>
    </xf>
    <xf numFmtId="0" fontId="14" fillId="9" borderId="8" xfId="0" applyFont="1" applyFill="1" applyBorder="1" applyAlignment="1">
      <alignment horizontal="center"/>
    </xf>
    <xf numFmtId="0" fontId="14" fillId="6" borderId="8" xfId="0" applyFont="1" applyFill="1" applyBorder="1" applyAlignment="1">
      <alignment horizontal="center"/>
    </xf>
    <xf numFmtId="0" fontId="14" fillId="6" borderId="9" xfId="0" applyFont="1" applyFill="1" applyBorder="1" applyAlignment="1">
      <alignment horizontal="center"/>
    </xf>
    <xf numFmtId="0" fontId="14" fillId="6" borderId="10" xfId="0" applyFont="1" applyFill="1" applyBorder="1" applyAlignment="1">
      <alignment horizontal="center"/>
    </xf>
    <xf numFmtId="0" fontId="14" fillId="6" borderId="12" xfId="0" applyFont="1" applyFill="1" applyBorder="1" applyAlignment="1">
      <alignment horizontal="center"/>
    </xf>
    <xf numFmtId="0" fontId="14" fillId="9" borderId="9" xfId="0" applyFont="1" applyFill="1" applyBorder="1" applyAlignment="1">
      <alignment horizontal="center"/>
    </xf>
    <xf numFmtId="0" fontId="14" fillId="9" borderId="10" xfId="0" applyFont="1" applyFill="1" applyBorder="1" applyAlignment="1">
      <alignment horizontal="center"/>
    </xf>
    <xf numFmtId="0" fontId="7" fillId="2" borderId="5" xfId="0" applyFont="1" applyFill="1" applyBorder="1" applyAlignment="1">
      <alignment horizontal="center" vertical="center"/>
    </xf>
    <xf numFmtId="0" fontId="7" fillId="2" borderId="6" xfId="0" applyFont="1" applyFill="1" applyBorder="1" applyAlignment="1">
      <alignment horizontal="center" vertical="center"/>
    </xf>
    <xf numFmtId="0" fontId="7" fillId="2" borderId="7" xfId="0" applyFont="1" applyFill="1" applyBorder="1" applyAlignment="1">
      <alignment horizontal="center" vertical="center"/>
    </xf>
    <xf numFmtId="0" fontId="8" fillId="2" borderId="5" xfId="0" applyFont="1" applyFill="1" applyBorder="1" applyAlignment="1">
      <alignment horizontal="center" vertical="center"/>
    </xf>
    <xf numFmtId="0" fontId="8" fillId="2" borderId="6" xfId="0" applyFont="1" applyFill="1" applyBorder="1" applyAlignment="1">
      <alignment horizontal="center" vertical="center"/>
    </xf>
    <xf numFmtId="0" fontId="8" fillId="2" borderId="7" xfId="0" applyFont="1" applyFill="1" applyBorder="1" applyAlignment="1">
      <alignment horizontal="center" vertical="center"/>
    </xf>
    <xf numFmtId="0" fontId="9" fillId="3" borderId="0" xfId="0" applyFont="1" applyFill="1" applyAlignment="1">
      <alignment horizontal="center"/>
    </xf>
    <xf numFmtId="0" fontId="9" fillId="3" borderId="3" xfId="0" applyFont="1" applyFill="1" applyBorder="1" applyAlignment="1">
      <alignment horizontal="center"/>
    </xf>
    <xf numFmtId="0" fontId="3" fillId="2" borderId="9" xfId="0" applyFont="1" applyFill="1" applyBorder="1" applyAlignment="1">
      <alignment horizontal="center"/>
    </xf>
    <xf numFmtId="0" fontId="3" fillId="2" borderId="10" xfId="0" applyFont="1" applyFill="1" applyBorder="1" applyAlignment="1">
      <alignment horizontal="center"/>
    </xf>
    <xf numFmtId="0" fontId="0" fillId="4" borderId="11" xfId="0" applyFill="1" applyBorder="1" applyAlignment="1">
      <alignment horizontal="center"/>
    </xf>
    <xf numFmtId="0" fontId="0" fillId="4" borderId="0" xfId="0" applyFill="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F517D4-131A-46E7-B508-8623293B1939}">
  <dimension ref="A1:C137"/>
  <sheetViews>
    <sheetView rightToLeft="1" tabSelected="1" topLeftCell="B10" workbookViewId="0">
      <selection activeCell="B6" sqref="B6:B20"/>
    </sheetView>
  </sheetViews>
  <sheetFormatPr defaultRowHeight="15"/>
  <cols>
    <col min="2" max="2" width="35" style="3" bestFit="1" customWidth="1"/>
    <col min="3" max="3" width="169" style="2" bestFit="1" customWidth="1"/>
  </cols>
  <sheetData>
    <row r="1" spans="2:3" ht="23.25">
      <c r="B1" s="4"/>
      <c r="C1" s="27" t="s">
        <v>0</v>
      </c>
    </row>
    <row r="2" spans="2:3">
      <c r="B2" s="4"/>
      <c r="C2" s="28" t="s">
        <v>78</v>
      </c>
    </row>
    <row r="3" spans="2:3">
      <c r="B3" s="4"/>
      <c r="C3" s="29" t="s">
        <v>79</v>
      </c>
    </row>
    <row r="4" spans="2:3">
      <c r="B4" s="4"/>
      <c r="C4" s="29"/>
    </row>
    <row r="5" spans="2:3" ht="15.75" thickBot="1">
      <c r="B5" s="21"/>
      <c r="C5" s="23"/>
    </row>
    <row r="6" spans="2:3" ht="14.45" customHeight="1">
      <c r="B6" s="72" t="s">
        <v>84</v>
      </c>
      <c r="C6" s="6" t="s">
        <v>95</v>
      </c>
    </row>
    <row r="7" spans="2:3" ht="14.45" customHeight="1">
      <c r="B7" s="73"/>
      <c r="C7" s="7" t="s">
        <v>85</v>
      </c>
    </row>
    <row r="8" spans="2:3" ht="14.45" customHeight="1">
      <c r="B8" s="73"/>
      <c r="C8" s="7" t="s">
        <v>86</v>
      </c>
    </row>
    <row r="9" spans="2:3" ht="14.45" customHeight="1">
      <c r="B9" s="73"/>
      <c r="C9" s="7" t="s">
        <v>3</v>
      </c>
    </row>
    <row r="10" spans="2:3" ht="14.45" customHeight="1">
      <c r="B10" s="73"/>
      <c r="C10" s="7" t="s">
        <v>87</v>
      </c>
    </row>
    <row r="11" spans="2:3" ht="14.45" customHeight="1">
      <c r="B11" s="73"/>
      <c r="C11" s="7" t="s">
        <v>88</v>
      </c>
    </row>
    <row r="12" spans="2:3" ht="14.45" customHeight="1">
      <c r="B12" s="73"/>
      <c r="C12" s="7" t="s">
        <v>89</v>
      </c>
    </row>
    <row r="13" spans="2:3" ht="14.45" customHeight="1">
      <c r="B13" s="73"/>
      <c r="C13" s="7" t="s">
        <v>6</v>
      </c>
    </row>
    <row r="14" spans="2:3" ht="14.45" customHeight="1">
      <c r="B14" s="73"/>
      <c r="C14" s="7" t="s">
        <v>7</v>
      </c>
    </row>
    <row r="15" spans="2:3" ht="14.45" customHeight="1">
      <c r="B15" s="73"/>
      <c r="C15" s="7" t="s">
        <v>90</v>
      </c>
    </row>
    <row r="16" spans="2:3" ht="14.45" customHeight="1">
      <c r="B16" s="73"/>
      <c r="C16" s="7" t="s">
        <v>91</v>
      </c>
    </row>
    <row r="17" spans="1:3" ht="14.45" customHeight="1">
      <c r="B17" s="73"/>
      <c r="C17" s="7" t="s">
        <v>92</v>
      </c>
    </row>
    <row r="18" spans="1:3" ht="14.45" customHeight="1">
      <c r="B18" s="73"/>
      <c r="C18" s="7" t="s">
        <v>93</v>
      </c>
    </row>
    <row r="19" spans="1:3" ht="14.45" customHeight="1">
      <c r="B19" s="73"/>
      <c r="C19" s="7" t="s">
        <v>10</v>
      </c>
    </row>
    <row r="20" spans="1:3" ht="15" customHeight="1" thickBot="1">
      <c r="B20" s="74"/>
      <c r="C20" s="9" t="s">
        <v>94</v>
      </c>
    </row>
    <row r="21" spans="1:3" ht="15.75" thickBot="1">
      <c r="B21"/>
      <c r="C21" s="23"/>
    </row>
    <row r="22" spans="1:3" ht="18" customHeight="1">
      <c r="B22" s="72" t="s">
        <v>1</v>
      </c>
      <c r="C22" s="6" t="s">
        <v>2</v>
      </c>
    </row>
    <row r="23" spans="1:3">
      <c r="A23" s="1"/>
      <c r="B23" s="73"/>
      <c r="C23" s="7" t="s">
        <v>28</v>
      </c>
    </row>
    <row r="24" spans="1:3">
      <c r="A24" s="1"/>
      <c r="B24" s="73"/>
      <c r="C24" s="7" t="s">
        <v>3</v>
      </c>
    </row>
    <row r="25" spans="1:3">
      <c r="A25" s="1"/>
      <c r="B25" s="73"/>
      <c r="C25" s="8" t="s">
        <v>4</v>
      </c>
    </row>
    <row r="26" spans="1:3">
      <c r="A26" s="1"/>
      <c r="B26" s="73"/>
      <c r="C26" s="8" t="s">
        <v>5</v>
      </c>
    </row>
    <row r="27" spans="1:3">
      <c r="A27" s="1"/>
      <c r="B27" s="73"/>
      <c r="C27" s="8" t="s">
        <v>6</v>
      </c>
    </row>
    <row r="28" spans="1:3">
      <c r="A28" s="1"/>
      <c r="B28" s="73"/>
      <c r="C28" s="8" t="s">
        <v>7</v>
      </c>
    </row>
    <row r="29" spans="1:3">
      <c r="A29" s="1"/>
      <c r="B29" s="73"/>
      <c r="C29" s="8" t="s">
        <v>8</v>
      </c>
    </row>
    <row r="30" spans="1:3">
      <c r="B30" s="73"/>
      <c r="C30" s="8" t="s">
        <v>9</v>
      </c>
    </row>
    <row r="31" spans="1:3" ht="17.45" customHeight="1">
      <c r="B31" s="73"/>
      <c r="C31" s="8" t="s">
        <v>10</v>
      </c>
    </row>
    <row r="32" spans="1:3" ht="15.75" thickBot="1">
      <c r="B32" s="74"/>
      <c r="C32" s="9" t="s">
        <v>11</v>
      </c>
    </row>
    <row r="33" spans="2:3" ht="15.75" thickBot="1">
      <c r="B33" s="21"/>
      <c r="C33" s="23"/>
    </row>
    <row r="34" spans="2:3" ht="18" customHeight="1">
      <c r="B34" s="72" t="s">
        <v>12</v>
      </c>
      <c r="C34" s="6" t="s">
        <v>13</v>
      </c>
    </row>
    <row r="35" spans="2:3" ht="14.45" customHeight="1">
      <c r="B35" s="73"/>
      <c r="C35" s="7" t="s">
        <v>14</v>
      </c>
    </row>
    <row r="36" spans="2:3" ht="14.45" customHeight="1">
      <c r="B36" s="73"/>
      <c r="C36" s="7" t="s">
        <v>3</v>
      </c>
    </row>
    <row r="37" spans="2:3" ht="14.45" customHeight="1">
      <c r="B37" s="73"/>
      <c r="C37" s="8" t="s">
        <v>4</v>
      </c>
    </row>
    <row r="38" spans="2:3" ht="14.45" customHeight="1">
      <c r="B38" s="73"/>
      <c r="C38" s="8" t="s">
        <v>15</v>
      </c>
    </row>
    <row r="39" spans="2:3" ht="14.45" customHeight="1">
      <c r="B39" s="73"/>
      <c r="C39" s="8" t="s">
        <v>6</v>
      </c>
    </row>
    <row r="40" spans="2:3" ht="14.45" customHeight="1">
      <c r="B40" s="73"/>
      <c r="C40" s="8" t="s">
        <v>16</v>
      </c>
    </row>
    <row r="41" spans="2:3" ht="14.45" customHeight="1">
      <c r="B41" s="73"/>
      <c r="C41" s="8" t="s">
        <v>17</v>
      </c>
    </row>
    <row r="42" spans="2:3" ht="14.45" customHeight="1">
      <c r="B42" s="73"/>
      <c r="C42" s="8" t="s">
        <v>18</v>
      </c>
    </row>
    <row r="43" spans="2:3" ht="14.45" customHeight="1">
      <c r="B43" s="73"/>
      <c r="C43" s="8" t="s">
        <v>10</v>
      </c>
    </row>
    <row r="44" spans="2:3" ht="15" customHeight="1" thickBot="1">
      <c r="B44" s="74"/>
      <c r="C44" s="9" t="s">
        <v>19</v>
      </c>
    </row>
    <row r="45" spans="2:3" ht="15.75" thickBot="1">
      <c r="B45" s="21"/>
      <c r="C45" s="23"/>
    </row>
    <row r="46" spans="2:3" ht="18" customHeight="1">
      <c r="B46" s="72" t="s">
        <v>20</v>
      </c>
      <c r="C46" s="6" t="s">
        <v>21</v>
      </c>
    </row>
    <row r="47" spans="2:3" ht="14.45" customHeight="1">
      <c r="B47" s="73"/>
      <c r="C47" s="7" t="s">
        <v>22</v>
      </c>
    </row>
    <row r="48" spans="2:3" ht="14.45" customHeight="1">
      <c r="B48" s="73"/>
      <c r="C48" s="7" t="s">
        <v>3</v>
      </c>
    </row>
    <row r="49" spans="2:3" ht="14.45" customHeight="1">
      <c r="B49" s="73"/>
      <c r="C49" s="8" t="s">
        <v>4</v>
      </c>
    </row>
    <row r="50" spans="2:3" ht="14.45" customHeight="1">
      <c r="B50" s="73"/>
      <c r="C50" s="8" t="s">
        <v>23</v>
      </c>
    </row>
    <row r="51" spans="2:3" ht="14.45" customHeight="1">
      <c r="B51" s="73"/>
      <c r="C51" s="8" t="s">
        <v>6</v>
      </c>
    </row>
    <row r="52" spans="2:3" ht="14.45" customHeight="1">
      <c r="B52" s="73"/>
      <c r="C52" s="8" t="s">
        <v>16</v>
      </c>
    </row>
    <row r="53" spans="2:3" ht="14.45" customHeight="1">
      <c r="B53" s="73"/>
      <c r="C53" s="8" t="s">
        <v>24</v>
      </c>
    </row>
    <row r="54" spans="2:3" ht="14.45" customHeight="1">
      <c r="B54" s="73"/>
      <c r="C54" s="8" t="s">
        <v>25</v>
      </c>
    </row>
    <row r="55" spans="2:3" ht="14.45" customHeight="1">
      <c r="B55" s="73"/>
      <c r="C55" s="8" t="s">
        <v>10</v>
      </c>
    </row>
    <row r="56" spans="2:3" ht="15" customHeight="1" thickBot="1">
      <c r="B56" s="74"/>
      <c r="C56" s="9" t="s">
        <v>26</v>
      </c>
    </row>
    <row r="57" spans="2:3" ht="15.75" thickBot="1">
      <c r="B57" s="21"/>
      <c r="C57" s="23"/>
    </row>
    <row r="58" spans="2:3" ht="18" customHeight="1">
      <c r="B58" s="72" t="s">
        <v>27</v>
      </c>
      <c r="C58" s="10" t="s">
        <v>29</v>
      </c>
    </row>
    <row r="59" spans="2:3" ht="14.45" customHeight="1">
      <c r="B59" s="73"/>
      <c r="C59" s="11" t="s">
        <v>30</v>
      </c>
    </row>
    <row r="60" spans="2:3" ht="14.45" customHeight="1">
      <c r="B60" s="73"/>
      <c r="C60" s="12" t="s">
        <v>3</v>
      </c>
    </row>
    <row r="61" spans="2:3" ht="14.45" customHeight="1">
      <c r="B61" s="73"/>
      <c r="C61" s="13" t="s">
        <v>31</v>
      </c>
    </row>
    <row r="62" spans="2:3" ht="15" customHeight="1" thickBot="1">
      <c r="B62" s="73"/>
      <c r="C62" s="14" t="s">
        <v>32</v>
      </c>
    </row>
    <row r="63" spans="2:3" ht="15.75" thickBot="1">
      <c r="B63" s="21"/>
      <c r="C63" s="23"/>
    </row>
    <row r="64" spans="2:3" ht="18" customHeight="1">
      <c r="B64" s="72" t="s">
        <v>33</v>
      </c>
      <c r="C64" s="10" t="s">
        <v>34</v>
      </c>
    </row>
    <row r="65" spans="2:3" ht="14.45" customHeight="1">
      <c r="B65" s="73"/>
      <c r="C65" s="11" t="s">
        <v>35</v>
      </c>
    </row>
    <row r="66" spans="2:3" ht="14.45" customHeight="1">
      <c r="B66" s="73"/>
      <c r="C66" s="12" t="s">
        <v>3</v>
      </c>
    </row>
    <row r="67" spans="2:3" ht="14.45" customHeight="1">
      <c r="B67" s="73"/>
      <c r="C67" s="13" t="s">
        <v>36</v>
      </c>
    </row>
    <row r="68" spans="2:3" ht="15" customHeight="1" thickBot="1">
      <c r="B68" s="73"/>
      <c r="C68" s="14" t="s">
        <v>37</v>
      </c>
    </row>
    <row r="69" spans="2:3" ht="15.75" thickBot="1">
      <c r="B69" s="21"/>
      <c r="C69" s="23"/>
    </row>
    <row r="70" spans="2:3" ht="18" customHeight="1">
      <c r="B70" s="72" t="s">
        <v>38</v>
      </c>
      <c r="C70" s="10" t="s">
        <v>39</v>
      </c>
    </row>
    <row r="71" spans="2:3" ht="14.45" customHeight="1">
      <c r="B71" s="73"/>
      <c r="C71" s="11" t="s">
        <v>40</v>
      </c>
    </row>
    <row r="72" spans="2:3" ht="14.45" customHeight="1">
      <c r="B72" s="73"/>
      <c r="C72" s="12" t="s">
        <v>3</v>
      </c>
    </row>
    <row r="73" spans="2:3" ht="15" customHeight="1" thickBot="1">
      <c r="B73" s="73"/>
      <c r="C73" s="16" t="s">
        <v>41</v>
      </c>
    </row>
    <row r="74" spans="2:3" ht="18.75" thickBot="1">
      <c r="B74" s="21"/>
      <c r="C74" s="24" t="s">
        <v>42</v>
      </c>
    </row>
    <row r="75" spans="2:3" ht="14.45" customHeight="1">
      <c r="B75" s="72" t="s">
        <v>49</v>
      </c>
      <c r="C75" s="10" t="s">
        <v>43</v>
      </c>
    </row>
    <row r="76" spans="2:3" ht="14.45" customHeight="1">
      <c r="B76" s="73"/>
      <c r="C76" s="11" t="s">
        <v>44</v>
      </c>
    </row>
    <row r="77" spans="2:3" ht="14.45" customHeight="1">
      <c r="B77" s="73"/>
      <c r="C77" s="12" t="s">
        <v>3</v>
      </c>
    </row>
    <row r="78" spans="2:3" ht="15" customHeight="1">
      <c r="B78" s="73"/>
      <c r="C78" s="13" t="s">
        <v>45</v>
      </c>
    </row>
    <row r="79" spans="2:3" ht="14.45" customHeight="1">
      <c r="B79" s="73"/>
      <c r="C79" s="13" t="s">
        <v>46</v>
      </c>
    </row>
    <row r="80" spans="2:3" ht="14.45" customHeight="1">
      <c r="B80" s="73"/>
      <c r="C80" s="13" t="s">
        <v>47</v>
      </c>
    </row>
    <row r="81" spans="2:3" ht="15" customHeight="1" thickBot="1">
      <c r="B81" s="73"/>
      <c r="C81" s="14" t="s">
        <v>48</v>
      </c>
    </row>
    <row r="82" spans="2:3" ht="15.75" thickBot="1">
      <c r="B82" s="21"/>
      <c r="C82" s="23"/>
    </row>
    <row r="83" spans="2:3" ht="18" customHeight="1">
      <c r="B83" s="72" t="s">
        <v>50</v>
      </c>
      <c r="C83" s="10" t="s">
        <v>51</v>
      </c>
    </row>
    <row r="84" spans="2:3" ht="14.45" customHeight="1">
      <c r="B84" s="73"/>
      <c r="C84" s="11" t="s">
        <v>52</v>
      </c>
    </row>
    <row r="85" spans="2:3" ht="14.45" customHeight="1">
      <c r="B85" s="73"/>
      <c r="C85" s="12" t="s">
        <v>3</v>
      </c>
    </row>
    <row r="86" spans="2:3" ht="14.45" customHeight="1">
      <c r="B86" s="73"/>
      <c r="C86" s="17" t="s">
        <v>53</v>
      </c>
    </row>
    <row r="87" spans="2:3" ht="14.45" customHeight="1">
      <c r="B87" s="73"/>
      <c r="C87" s="17" t="s">
        <v>54</v>
      </c>
    </row>
    <row r="88" spans="2:3" ht="15" customHeight="1" thickBot="1">
      <c r="B88" s="73"/>
      <c r="C88" s="18" t="s">
        <v>55</v>
      </c>
    </row>
    <row r="89" spans="2:3" ht="15.75" thickBot="1">
      <c r="B89" s="21"/>
      <c r="C89" s="23"/>
    </row>
    <row r="90" spans="2:3" ht="14.45" customHeight="1">
      <c r="B90" s="72" t="s">
        <v>56</v>
      </c>
      <c r="C90" s="10" t="s">
        <v>57</v>
      </c>
    </row>
    <row r="91" spans="2:3" ht="14.45" customHeight="1">
      <c r="B91" s="73"/>
      <c r="C91" s="11" t="s">
        <v>58</v>
      </c>
    </row>
    <row r="92" spans="2:3" ht="14.45" customHeight="1">
      <c r="B92" s="73"/>
      <c r="C92" s="12" t="s">
        <v>3</v>
      </c>
    </row>
    <row r="93" spans="2:3" ht="15" customHeight="1" thickBot="1">
      <c r="B93" s="73"/>
      <c r="C93" s="16" t="s">
        <v>59</v>
      </c>
    </row>
    <row r="94" spans="2:3" ht="15.75" thickBot="1">
      <c r="B94" s="21"/>
      <c r="C94" s="22"/>
    </row>
    <row r="95" spans="2:3" ht="14.45" customHeight="1">
      <c r="B95" s="72" t="s">
        <v>60</v>
      </c>
      <c r="C95" s="19" t="s">
        <v>61</v>
      </c>
    </row>
    <row r="96" spans="2:3" ht="14.45" customHeight="1">
      <c r="B96" s="73"/>
      <c r="C96" s="20" t="s">
        <v>62</v>
      </c>
    </row>
    <row r="97" spans="2:3" ht="14.45" customHeight="1">
      <c r="B97" s="73"/>
      <c r="C97" s="12" t="s">
        <v>3</v>
      </c>
    </row>
    <row r="98" spans="2:3" ht="14.45" customHeight="1">
      <c r="B98" s="73"/>
      <c r="C98" s="17" t="s">
        <v>54</v>
      </c>
    </row>
    <row r="99" spans="2:3" ht="15" customHeight="1" thickBot="1">
      <c r="B99" s="73"/>
      <c r="C99" s="18" t="s">
        <v>63</v>
      </c>
    </row>
    <row r="100" spans="2:3" ht="15" customHeight="1" thickBot="1">
      <c r="B100" s="25"/>
      <c r="C100" s="26"/>
    </row>
    <row r="101" spans="2:3" ht="14.45" customHeight="1">
      <c r="B101" s="75" t="s">
        <v>64</v>
      </c>
      <c r="C101" s="10" t="s">
        <v>65</v>
      </c>
    </row>
    <row r="102" spans="2:3" ht="14.45" customHeight="1">
      <c r="B102" s="76"/>
      <c r="C102" s="11" t="s">
        <v>66</v>
      </c>
    </row>
    <row r="103" spans="2:3" ht="14.45" customHeight="1">
      <c r="B103" s="76"/>
      <c r="C103" s="12" t="s">
        <v>3</v>
      </c>
    </row>
    <row r="104" spans="2:3" ht="14.45" customHeight="1">
      <c r="B104" s="76"/>
      <c r="C104" s="13" t="s">
        <v>54</v>
      </c>
    </row>
    <row r="105" spans="2:3" ht="15" customHeight="1" thickBot="1">
      <c r="B105" s="76"/>
      <c r="C105" s="16" t="s">
        <v>55</v>
      </c>
    </row>
    <row r="106" spans="2:3" ht="14.45" customHeight="1">
      <c r="B106" s="4"/>
      <c r="C106" s="5"/>
    </row>
    <row r="107" spans="2:3" ht="21">
      <c r="B107" s="78" t="s">
        <v>67</v>
      </c>
      <c r="C107" s="79"/>
    </row>
    <row r="108" spans="2:3" ht="15.75" thickBot="1">
      <c r="B108" s="4"/>
      <c r="C108" s="15"/>
    </row>
    <row r="109" spans="2:3" ht="18" customHeight="1">
      <c r="B109" s="75" t="s">
        <v>68</v>
      </c>
      <c r="C109" s="10" t="s">
        <v>69</v>
      </c>
    </row>
    <row r="110" spans="2:3">
      <c r="B110" s="76"/>
      <c r="C110" s="11" t="s">
        <v>70</v>
      </c>
    </row>
    <row r="111" spans="2:3">
      <c r="B111" s="76"/>
      <c r="C111" s="12" t="s">
        <v>3</v>
      </c>
    </row>
    <row r="112" spans="2:3">
      <c r="B112" s="76"/>
      <c r="C112" s="17" t="s">
        <v>71</v>
      </c>
    </row>
    <row r="113" spans="2:3">
      <c r="B113" s="76"/>
      <c r="C113" s="17" t="s">
        <v>72</v>
      </c>
    </row>
    <row r="114" spans="2:3" ht="15.75" thickBot="1">
      <c r="B114" s="77"/>
      <c r="C114" s="14" t="s">
        <v>80</v>
      </c>
    </row>
    <row r="115" spans="2:3" ht="15.75" thickBot="1">
      <c r="B115" s="4"/>
      <c r="C115" s="5"/>
    </row>
    <row r="116" spans="2:3">
      <c r="B116" s="75" t="s">
        <v>73</v>
      </c>
      <c r="C116" s="10" t="s">
        <v>74</v>
      </c>
    </row>
    <row r="117" spans="2:3">
      <c r="B117" s="76"/>
      <c r="C117" s="11" t="s">
        <v>75</v>
      </c>
    </row>
    <row r="118" spans="2:3">
      <c r="B118" s="76"/>
      <c r="C118" s="12" t="s">
        <v>3</v>
      </c>
    </row>
    <row r="119" spans="2:3">
      <c r="B119" s="76"/>
      <c r="C119" s="17" t="s">
        <v>76</v>
      </c>
    </row>
    <row r="120" spans="2:3">
      <c r="B120" s="76"/>
      <c r="C120" s="17" t="s">
        <v>77</v>
      </c>
    </row>
    <row r="121" spans="2:3" ht="15.75" thickBot="1">
      <c r="B121" s="77"/>
      <c r="C121" s="14" t="s">
        <v>81</v>
      </c>
    </row>
    <row r="122" spans="2:3">
      <c r="C122" s="3"/>
    </row>
    <row r="124" spans="2:3">
      <c r="C124" s="32" t="s">
        <v>85</v>
      </c>
    </row>
    <row r="125" spans="2:3">
      <c r="C125" s="32" t="s">
        <v>86</v>
      </c>
    </row>
    <row r="126" spans="2:3">
      <c r="C126" s="30" t="s">
        <v>3</v>
      </c>
    </row>
    <row r="127" spans="2:3">
      <c r="C127" s="31" t="s">
        <v>87</v>
      </c>
    </row>
    <row r="128" spans="2:3">
      <c r="C128" s="31" t="s">
        <v>88</v>
      </c>
    </row>
    <row r="129" spans="3:3">
      <c r="C129" s="31" t="s">
        <v>89</v>
      </c>
    </row>
    <row r="130" spans="3:3">
      <c r="C130" s="31" t="s">
        <v>6</v>
      </c>
    </row>
    <row r="131" spans="3:3">
      <c r="C131" s="31" t="s">
        <v>7</v>
      </c>
    </row>
    <row r="132" spans="3:3">
      <c r="C132" s="31" t="s">
        <v>90</v>
      </c>
    </row>
    <row r="133" spans="3:3">
      <c r="C133" s="31" t="s">
        <v>91</v>
      </c>
    </row>
    <row r="134" spans="3:3">
      <c r="C134" s="31" t="s">
        <v>92</v>
      </c>
    </row>
    <row r="135" spans="3:3">
      <c r="C135" s="31" t="s">
        <v>93</v>
      </c>
    </row>
    <row r="136" spans="3:3">
      <c r="C136" s="31" t="s">
        <v>10</v>
      </c>
    </row>
    <row r="137" spans="3:3">
      <c r="C137" s="31" t="s">
        <v>94</v>
      </c>
    </row>
  </sheetData>
  <mergeCells count="15">
    <mergeCell ref="B109:B114"/>
    <mergeCell ref="B116:B121"/>
    <mergeCell ref="B95:B99"/>
    <mergeCell ref="B90:B93"/>
    <mergeCell ref="B101:B105"/>
    <mergeCell ref="B107:C107"/>
    <mergeCell ref="B70:B73"/>
    <mergeCell ref="B75:B81"/>
    <mergeCell ref="B83:B88"/>
    <mergeCell ref="B6:B20"/>
    <mergeCell ref="B46:B56"/>
    <mergeCell ref="B58:B62"/>
    <mergeCell ref="B22:B32"/>
    <mergeCell ref="B34:B44"/>
    <mergeCell ref="B64:B68"/>
  </mergeCells>
  <pageMargins left="0.7" right="0.7" top="0.75" bottom="0.75" header="0.3" footer="0.3"/>
  <pageSetup orientation="portrait"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671C02-44C6-4DE4-8A2E-378DD912F935}">
  <dimension ref="B1:N35"/>
  <sheetViews>
    <sheetView rightToLeft="1" topLeftCell="A6" workbookViewId="0">
      <selection activeCell="A36" sqref="A35:XFD36"/>
    </sheetView>
  </sheetViews>
  <sheetFormatPr defaultRowHeight="15"/>
  <cols>
    <col min="2" max="2" width="36.42578125" style="2" bestFit="1" customWidth="1"/>
    <col min="3" max="3" width="16" style="33" bestFit="1" customWidth="1"/>
    <col min="4" max="6" width="16" style="49" customWidth="1"/>
    <col min="7" max="7" width="10.85546875" style="49" bestFit="1" customWidth="1"/>
    <col min="8" max="8" width="16" style="33" customWidth="1"/>
    <col min="9" max="9" width="10.85546875" style="33" customWidth="1"/>
    <col min="10" max="10" width="24.140625" style="33" bestFit="1" customWidth="1"/>
    <col min="11" max="11" width="8.85546875" style="33"/>
    <col min="12" max="12" width="10.85546875" style="33" bestFit="1" customWidth="1"/>
    <col min="14" max="14" width="13.7109375" bestFit="1" customWidth="1"/>
  </cols>
  <sheetData>
    <row r="1" spans="2:14" ht="18" customHeight="1">
      <c r="B1" s="34" t="s">
        <v>82</v>
      </c>
      <c r="C1" s="35" t="s">
        <v>83</v>
      </c>
      <c r="D1" s="46" t="s">
        <v>110</v>
      </c>
      <c r="E1" s="46" t="s">
        <v>100</v>
      </c>
      <c r="F1" s="46" t="s">
        <v>102</v>
      </c>
      <c r="G1" s="46" t="s">
        <v>96</v>
      </c>
      <c r="H1" s="35" t="s">
        <v>101</v>
      </c>
      <c r="I1" s="80" t="s">
        <v>99</v>
      </c>
      <c r="J1" s="81"/>
      <c r="K1" s="35" t="s">
        <v>97</v>
      </c>
      <c r="L1" s="33" t="s">
        <v>106</v>
      </c>
      <c r="M1" s="45" t="s">
        <v>107</v>
      </c>
      <c r="N1" s="45" t="s">
        <v>108</v>
      </c>
    </row>
    <row r="2" spans="2:14" ht="18" customHeight="1">
      <c r="B2" s="34"/>
      <c r="C2" s="35"/>
      <c r="D2" s="46"/>
      <c r="E2" s="46"/>
      <c r="F2" s="46"/>
      <c r="G2" s="46"/>
      <c r="H2" s="35"/>
      <c r="I2" s="43" t="s">
        <v>104</v>
      </c>
      <c r="J2" s="44" t="s">
        <v>105</v>
      </c>
      <c r="K2" s="35"/>
    </row>
    <row r="3" spans="2:14" ht="18">
      <c r="B3" s="36" t="s">
        <v>84</v>
      </c>
      <c r="C3" s="37"/>
      <c r="D3" s="47">
        <v>40</v>
      </c>
      <c r="E3" s="47">
        <v>130</v>
      </c>
      <c r="F3" s="47">
        <v>75</v>
      </c>
      <c r="G3" s="47">
        <v>1000</v>
      </c>
      <c r="H3" s="37">
        <v>50</v>
      </c>
      <c r="I3" s="37"/>
      <c r="J3" s="37">
        <v>1095</v>
      </c>
      <c r="K3" s="37">
        <f>SUM(C3:J3)</f>
        <v>2390</v>
      </c>
      <c r="L3" s="49">
        <v>0.25</v>
      </c>
      <c r="M3" s="50">
        <f t="shared" ref="M3:M8" si="0">SUM(D3:G3)*L3</f>
        <v>311.25</v>
      </c>
      <c r="N3" s="50">
        <f>K3-M3</f>
        <v>2078.75</v>
      </c>
    </row>
    <row r="4" spans="2:14">
      <c r="B4" s="38"/>
      <c r="C4" s="39"/>
      <c r="D4" s="48"/>
      <c r="E4" s="48"/>
      <c r="F4" s="48"/>
      <c r="G4" s="48"/>
      <c r="H4" s="39"/>
      <c r="I4" s="39"/>
      <c r="J4" s="39"/>
      <c r="K4" s="40"/>
      <c r="L4" s="33">
        <v>0.15</v>
      </c>
      <c r="M4" s="50">
        <f t="shared" si="0"/>
        <v>0</v>
      </c>
      <c r="N4">
        <f t="shared" ref="N4:N11" si="1">K4-M4</f>
        <v>0</v>
      </c>
    </row>
    <row r="5" spans="2:14" ht="14.45" customHeight="1">
      <c r="B5" s="36" t="s">
        <v>1</v>
      </c>
      <c r="C5" s="37"/>
      <c r="D5" s="47">
        <v>40</v>
      </c>
      <c r="E5" s="47">
        <v>130</v>
      </c>
      <c r="F5" s="47">
        <v>75</v>
      </c>
      <c r="G5" s="47">
        <v>125</v>
      </c>
      <c r="H5" s="37">
        <v>50</v>
      </c>
      <c r="I5" s="37">
        <v>135</v>
      </c>
      <c r="J5" s="37"/>
      <c r="K5" s="37">
        <f>SUM(C5:J5)</f>
        <v>555</v>
      </c>
      <c r="L5" s="33">
        <v>0.15</v>
      </c>
      <c r="M5" s="50">
        <f t="shared" si="0"/>
        <v>55.5</v>
      </c>
      <c r="N5">
        <f t="shared" si="1"/>
        <v>499.5</v>
      </c>
    </row>
    <row r="6" spans="2:14">
      <c r="B6" s="38"/>
      <c r="C6" s="39"/>
      <c r="D6" s="48"/>
      <c r="E6" s="48"/>
      <c r="F6" s="48"/>
      <c r="G6" s="48"/>
      <c r="H6" s="39"/>
      <c r="I6" s="39"/>
      <c r="J6" s="39"/>
      <c r="K6" s="40"/>
      <c r="L6" s="33">
        <v>0.15</v>
      </c>
      <c r="M6" s="50">
        <f t="shared" si="0"/>
        <v>0</v>
      </c>
      <c r="N6">
        <f t="shared" si="1"/>
        <v>0</v>
      </c>
    </row>
    <row r="7" spans="2:14" ht="14.45" customHeight="1">
      <c r="B7" s="36" t="s">
        <v>12</v>
      </c>
      <c r="C7" s="37"/>
      <c r="D7" s="47">
        <v>40</v>
      </c>
      <c r="E7" s="47">
        <v>130</v>
      </c>
      <c r="F7" s="47">
        <v>75</v>
      </c>
      <c r="G7" s="47"/>
      <c r="H7" s="37">
        <v>50</v>
      </c>
      <c r="I7" s="37">
        <v>135</v>
      </c>
      <c r="J7" s="37"/>
      <c r="K7" s="37">
        <f>SUM(C7:I7)</f>
        <v>430</v>
      </c>
      <c r="L7" s="33">
        <v>0.15</v>
      </c>
      <c r="M7" s="50">
        <f t="shared" si="0"/>
        <v>36.75</v>
      </c>
      <c r="N7">
        <f t="shared" si="1"/>
        <v>393.25</v>
      </c>
    </row>
    <row r="8" spans="2:14">
      <c r="B8" s="38"/>
      <c r="C8" s="39"/>
      <c r="D8" s="48"/>
      <c r="E8" s="48"/>
      <c r="F8" s="48"/>
      <c r="G8" s="48"/>
      <c r="H8" s="39"/>
      <c r="I8" s="39"/>
      <c r="J8" s="39"/>
      <c r="K8" s="40"/>
      <c r="L8" s="33">
        <v>0.15</v>
      </c>
      <c r="M8" s="50">
        <f t="shared" si="0"/>
        <v>0</v>
      </c>
      <c r="N8">
        <f t="shared" si="1"/>
        <v>0</v>
      </c>
    </row>
    <row r="9" spans="2:14" ht="14.45" customHeight="1">
      <c r="B9" s="36" t="s">
        <v>20</v>
      </c>
      <c r="C9" s="37"/>
      <c r="D9" s="47">
        <v>40</v>
      </c>
      <c r="E9" s="47">
        <v>130</v>
      </c>
      <c r="F9" s="47"/>
      <c r="G9" s="47"/>
      <c r="H9" s="37"/>
      <c r="I9" s="37"/>
      <c r="J9" s="37"/>
      <c r="K9" s="37">
        <f>SUM(C9:I9)</f>
        <v>170</v>
      </c>
      <c r="L9" s="82" t="s">
        <v>109</v>
      </c>
      <c r="M9" s="83"/>
      <c r="N9" s="83"/>
    </row>
    <row r="10" spans="2:14">
      <c r="B10" s="38"/>
      <c r="C10" s="39"/>
      <c r="D10" s="48"/>
      <c r="E10" s="48"/>
      <c r="F10" s="48"/>
      <c r="G10" s="48"/>
      <c r="H10" s="39"/>
      <c r="I10" s="39"/>
      <c r="J10" s="39"/>
      <c r="K10" s="40"/>
      <c r="L10" s="33">
        <v>0.15</v>
      </c>
      <c r="M10">
        <f>SUM(D10:G10)*L10</f>
        <v>0</v>
      </c>
      <c r="N10">
        <f t="shared" si="1"/>
        <v>0</v>
      </c>
    </row>
    <row r="11" spans="2:14" ht="14.45" customHeight="1">
      <c r="B11" s="36" t="s">
        <v>27</v>
      </c>
      <c r="C11" s="37"/>
      <c r="D11" s="47">
        <v>40</v>
      </c>
      <c r="E11" s="47"/>
      <c r="F11" s="47"/>
      <c r="G11" s="47"/>
      <c r="H11" s="37"/>
      <c r="I11" s="37">
        <v>135</v>
      </c>
      <c r="J11" s="37"/>
      <c r="K11" s="37">
        <f>SUM(C11:I11)</f>
        <v>175</v>
      </c>
      <c r="L11" s="33">
        <v>0.15</v>
      </c>
      <c r="M11">
        <f>SUM(D11:G11)*L11</f>
        <v>6</v>
      </c>
      <c r="N11">
        <f t="shared" si="1"/>
        <v>169</v>
      </c>
    </row>
    <row r="12" spans="2:14">
      <c r="B12" s="38"/>
      <c r="C12" s="39"/>
      <c r="D12" s="48"/>
      <c r="E12" s="48"/>
      <c r="F12" s="48"/>
      <c r="G12" s="48"/>
      <c r="H12" s="39"/>
      <c r="I12" s="39"/>
      <c r="J12" s="39"/>
      <c r="K12" s="40"/>
    </row>
    <row r="13" spans="2:14" ht="14.45" customHeight="1">
      <c r="B13" s="36" t="s">
        <v>33</v>
      </c>
      <c r="C13" s="37"/>
      <c r="D13" s="47">
        <v>40</v>
      </c>
      <c r="E13" s="47"/>
      <c r="F13" s="47"/>
      <c r="G13" s="47"/>
      <c r="H13" s="37"/>
      <c r="I13" s="37"/>
      <c r="J13" s="37"/>
      <c r="K13" s="37">
        <f>SUM(C13:I13)</f>
        <v>40</v>
      </c>
    </row>
    <row r="14" spans="2:14">
      <c r="B14" s="38"/>
      <c r="C14" s="40"/>
      <c r="D14" s="46"/>
      <c r="E14" s="46"/>
      <c r="F14" s="46"/>
      <c r="G14" s="46"/>
      <c r="H14" s="40"/>
      <c r="I14" s="40"/>
      <c r="J14" s="40"/>
      <c r="K14" s="40"/>
    </row>
    <row r="15" spans="2:14" ht="14.45" customHeight="1">
      <c r="B15" s="36" t="s">
        <v>38</v>
      </c>
      <c r="C15" s="37"/>
      <c r="D15" s="47">
        <v>20</v>
      </c>
      <c r="E15" s="47"/>
      <c r="F15" s="47"/>
      <c r="G15" s="47"/>
      <c r="H15" s="37"/>
      <c r="I15" s="37"/>
      <c r="J15" s="37"/>
      <c r="K15" s="37">
        <f>SUM(C15:I15)</f>
        <v>20</v>
      </c>
    </row>
    <row r="16" spans="2:14">
      <c r="B16" s="38"/>
      <c r="C16" s="40"/>
      <c r="D16" s="46"/>
      <c r="E16" s="46"/>
      <c r="F16" s="46"/>
      <c r="G16" s="46"/>
      <c r="H16" s="40"/>
      <c r="I16" s="40"/>
      <c r="J16" s="40"/>
      <c r="K16" s="40"/>
    </row>
    <row r="17" spans="2:11">
      <c r="B17" s="51"/>
      <c r="C17" s="52"/>
      <c r="D17" s="52" t="s">
        <v>111</v>
      </c>
      <c r="E17" s="52"/>
      <c r="F17" s="52" t="s">
        <v>112</v>
      </c>
      <c r="G17" s="52" t="s">
        <v>113</v>
      </c>
      <c r="H17" s="52"/>
      <c r="I17" s="52"/>
      <c r="J17" s="52"/>
      <c r="K17" s="52"/>
    </row>
    <row r="18" spans="2:11" ht="14.45" customHeight="1">
      <c r="B18" s="36" t="s">
        <v>49</v>
      </c>
      <c r="C18" s="37"/>
      <c r="D18" s="47">
        <v>100</v>
      </c>
      <c r="E18" s="47"/>
      <c r="F18" s="47">
        <v>15</v>
      </c>
      <c r="G18" s="47">
        <v>50</v>
      </c>
      <c r="H18" s="37"/>
      <c r="I18" s="37"/>
      <c r="J18" s="37"/>
      <c r="K18" s="37">
        <f>SUM(C18:I18)</f>
        <v>165</v>
      </c>
    </row>
    <row r="19" spans="2:11">
      <c r="B19" s="38"/>
      <c r="C19" s="40"/>
      <c r="D19" s="46"/>
      <c r="E19" s="46"/>
      <c r="F19" s="46"/>
      <c r="G19" s="46"/>
      <c r="H19" s="40"/>
      <c r="I19" s="40"/>
      <c r="J19" s="40"/>
      <c r="K19" s="40"/>
    </row>
    <row r="20" spans="2:11" ht="14.45" customHeight="1">
      <c r="B20" s="36" t="s">
        <v>50</v>
      </c>
      <c r="C20" s="37"/>
      <c r="D20" s="47">
        <v>100</v>
      </c>
      <c r="E20" s="47"/>
      <c r="F20" s="47">
        <v>15</v>
      </c>
      <c r="G20" s="47"/>
      <c r="H20" s="37"/>
      <c r="I20" s="37"/>
      <c r="J20" s="37"/>
      <c r="K20" s="37">
        <f>SUM(C20:I20)</f>
        <v>115</v>
      </c>
    </row>
    <row r="21" spans="2:11">
      <c r="B21" s="38"/>
      <c r="C21" s="40"/>
      <c r="D21" s="46"/>
      <c r="E21" s="46"/>
      <c r="F21" s="46"/>
      <c r="G21" s="46"/>
      <c r="H21" s="40"/>
      <c r="I21" s="40"/>
      <c r="J21" s="40"/>
      <c r="K21" s="40"/>
    </row>
    <row r="22" spans="2:11" ht="14.45" customHeight="1">
      <c r="B22" s="36" t="s">
        <v>56</v>
      </c>
      <c r="C22" s="37"/>
      <c r="D22" s="47">
        <v>100</v>
      </c>
      <c r="E22" s="47"/>
      <c r="F22" s="47"/>
      <c r="G22" s="47"/>
      <c r="H22" s="37"/>
      <c r="I22" s="37"/>
      <c r="J22" s="37"/>
      <c r="K22" s="37">
        <f>SUM(C22:I22)</f>
        <v>100</v>
      </c>
    </row>
    <row r="23" spans="2:11">
      <c r="B23" s="38"/>
      <c r="C23" s="40"/>
      <c r="D23" s="46"/>
      <c r="E23" s="46"/>
      <c r="F23" s="46"/>
      <c r="G23" s="46"/>
      <c r="H23" s="40"/>
      <c r="I23" s="40"/>
      <c r="J23" s="40"/>
      <c r="K23" s="40"/>
    </row>
    <row r="24" spans="2:11" ht="14.45" customHeight="1">
      <c r="B24" s="36" t="s">
        <v>60</v>
      </c>
      <c r="C24" s="37"/>
      <c r="D24" s="47">
        <v>200</v>
      </c>
      <c r="E24" s="47"/>
      <c r="F24" s="47"/>
      <c r="G24" s="47">
        <v>50</v>
      </c>
      <c r="H24" s="37"/>
      <c r="I24" s="37"/>
      <c r="J24" s="37"/>
      <c r="K24" s="37">
        <f>SUM(C24:I24)</f>
        <v>250</v>
      </c>
    </row>
    <row r="25" spans="2:11" ht="18">
      <c r="B25" s="41"/>
      <c r="C25" s="40"/>
      <c r="D25" s="46"/>
      <c r="E25" s="46"/>
      <c r="F25" s="46"/>
      <c r="G25" s="46"/>
      <c r="H25" s="40"/>
      <c r="I25" s="40"/>
      <c r="J25" s="40"/>
      <c r="K25" s="40"/>
    </row>
    <row r="26" spans="2:11" ht="14.45" customHeight="1">
      <c r="B26" s="36" t="s">
        <v>64</v>
      </c>
      <c r="C26" s="37"/>
      <c r="D26" s="47">
        <v>200</v>
      </c>
      <c r="E26" s="47"/>
      <c r="F26" s="47"/>
      <c r="G26" s="47"/>
      <c r="H26" s="37"/>
      <c r="I26" s="37"/>
      <c r="J26" s="37"/>
      <c r="K26" s="37">
        <f>SUM(C26:I26)</f>
        <v>200</v>
      </c>
    </row>
    <row r="27" spans="2:11">
      <c r="B27" s="42"/>
      <c r="C27" s="40"/>
      <c r="D27" s="46"/>
      <c r="E27" s="46"/>
      <c r="F27" s="46"/>
      <c r="G27" s="46"/>
      <c r="H27" s="40"/>
      <c r="I27" s="40"/>
      <c r="J27" s="40"/>
      <c r="K27" s="40"/>
    </row>
    <row r="28" spans="2:11" ht="14.45" customHeight="1">
      <c r="B28" s="36" t="s">
        <v>68</v>
      </c>
      <c r="C28" s="37"/>
      <c r="D28" s="47">
        <v>20</v>
      </c>
      <c r="E28" s="47"/>
      <c r="F28" s="47"/>
      <c r="G28" s="47"/>
      <c r="H28" s="37"/>
      <c r="I28" s="37"/>
      <c r="J28" s="37"/>
      <c r="K28" s="37">
        <f>SUM(C28:I28)</f>
        <v>20</v>
      </c>
    </row>
    <row r="29" spans="2:11">
      <c r="B29" s="38"/>
      <c r="C29" s="40"/>
      <c r="D29" s="46"/>
      <c r="E29" s="46"/>
      <c r="F29" s="46"/>
      <c r="G29" s="46"/>
      <c r="H29" s="40"/>
      <c r="I29" s="40"/>
      <c r="J29" s="40"/>
      <c r="K29" s="40"/>
    </row>
    <row r="30" spans="2:11" ht="14.45" customHeight="1">
      <c r="B30" s="36" t="s">
        <v>73</v>
      </c>
      <c r="C30" s="37"/>
      <c r="D30" s="47">
        <v>50</v>
      </c>
      <c r="E30" s="47"/>
      <c r="F30" s="47"/>
      <c r="G30" s="47"/>
      <c r="H30" s="37"/>
      <c r="I30" s="37"/>
      <c r="J30" s="37"/>
      <c r="K30" s="37">
        <f>SUM(C30:I30)</f>
        <v>50</v>
      </c>
    </row>
    <row r="32" spans="2:11">
      <c r="B32" s="35" t="s">
        <v>103</v>
      </c>
      <c r="D32" s="49">
        <v>20</v>
      </c>
    </row>
    <row r="33" spans="2:4" ht="18">
      <c r="B33" s="37" t="s">
        <v>38</v>
      </c>
      <c r="D33" s="49">
        <v>50</v>
      </c>
    </row>
    <row r="34" spans="2:4">
      <c r="B34" s="2" t="s">
        <v>121</v>
      </c>
      <c r="D34" s="49">
        <v>10</v>
      </c>
    </row>
    <row r="35" spans="2:4">
      <c r="B35" s="53"/>
    </row>
  </sheetData>
  <mergeCells count="2">
    <mergeCell ref="I1:J1"/>
    <mergeCell ref="L9:N9"/>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7ECB94-ECEA-4F9E-A70D-7D9B56A1B968}">
  <dimension ref="B1:P248"/>
  <sheetViews>
    <sheetView rightToLeft="1" zoomScale="80" zoomScaleNormal="80" workbookViewId="0">
      <pane ySplit="1" topLeftCell="A2" activePane="bottomLeft" state="frozen"/>
      <selection pane="bottomLeft" activeCell="Q1" sqref="Q1:S1048576"/>
    </sheetView>
  </sheetViews>
  <sheetFormatPr defaultRowHeight="15"/>
  <cols>
    <col min="1" max="1" width="8.85546875" customWidth="1"/>
    <col min="2" max="2" width="4.5703125" style="55" bestFit="1" customWidth="1"/>
    <col min="3" max="3" width="30.140625" style="54" bestFit="1" customWidth="1"/>
    <col min="4" max="4" width="12" style="57" bestFit="1" customWidth="1"/>
    <col min="5" max="5" width="14.7109375" style="59" bestFit="1" customWidth="1"/>
    <col min="6" max="6" width="9.7109375" style="60" bestFit="1" customWidth="1"/>
    <col min="7" max="7" width="8.7109375" style="60" bestFit="1" customWidth="1"/>
    <col min="8" max="8" width="12.28515625" style="60" bestFit="1" customWidth="1"/>
    <col min="9" max="9" width="10.85546875" style="60" bestFit="1" customWidth="1"/>
    <col min="10" max="10" width="10.140625" style="59" customWidth="1"/>
    <col min="11" max="11" width="7.28515625" style="58" bestFit="1" customWidth="1"/>
    <col min="12" max="12" width="9.42578125" style="58" bestFit="1" customWidth="1"/>
    <col min="13" max="13" width="5" style="58" bestFit="1" customWidth="1"/>
    <col min="14" max="14" width="5.42578125" style="58" bestFit="1" customWidth="1"/>
    <col min="15" max="15" width="9.7109375" style="58" bestFit="1" customWidth="1"/>
    <col min="16" max="16" width="7.28515625" style="58" bestFit="1" customWidth="1"/>
  </cols>
  <sheetData>
    <row r="1" spans="2:16">
      <c r="B1" s="65" t="s">
        <v>114</v>
      </c>
      <c r="C1" s="65" t="s">
        <v>82</v>
      </c>
      <c r="D1" s="65" t="s">
        <v>118</v>
      </c>
      <c r="E1" s="65" t="s">
        <v>119</v>
      </c>
      <c r="F1" s="65" t="s">
        <v>110</v>
      </c>
      <c r="G1" s="65" t="s">
        <v>100</v>
      </c>
      <c r="H1" s="65" t="s">
        <v>102</v>
      </c>
      <c r="I1" s="65" t="s">
        <v>96</v>
      </c>
      <c r="J1" s="65" t="s">
        <v>101</v>
      </c>
      <c r="K1" s="70" t="s">
        <v>99</v>
      </c>
      <c r="L1" s="71"/>
      <c r="M1" s="70" t="s">
        <v>98</v>
      </c>
      <c r="N1" s="71"/>
      <c r="O1" s="65" t="s">
        <v>124</v>
      </c>
      <c r="P1" s="65" t="s">
        <v>97</v>
      </c>
    </row>
    <row r="2" spans="2:16">
      <c r="B2" s="64"/>
      <c r="C2" s="64"/>
      <c r="D2" s="64"/>
      <c r="E2" s="66"/>
      <c r="F2" s="66"/>
      <c r="G2" s="66"/>
      <c r="H2" s="66"/>
      <c r="I2" s="66"/>
      <c r="J2" s="66"/>
      <c r="K2" s="67" t="s">
        <v>104</v>
      </c>
      <c r="L2" s="68" t="s">
        <v>105</v>
      </c>
      <c r="M2" s="67" t="s">
        <v>104</v>
      </c>
      <c r="N2" s="68" t="s">
        <v>105</v>
      </c>
      <c r="O2" s="69"/>
      <c r="P2" s="67"/>
    </row>
    <row r="3" spans="2:16" ht="18">
      <c r="B3" s="62">
        <v>1</v>
      </c>
      <c r="C3" s="63" t="s">
        <v>84</v>
      </c>
      <c r="D3" s="61" t="s">
        <v>120</v>
      </c>
      <c r="E3" s="61" t="s">
        <v>115</v>
      </c>
      <c r="F3" s="61">
        <v>40</v>
      </c>
      <c r="G3" s="61">
        <v>130</v>
      </c>
      <c r="H3" s="61">
        <v>75</v>
      </c>
      <c r="I3" s="61">
        <v>705</v>
      </c>
      <c r="J3" s="61">
        <v>50</v>
      </c>
      <c r="K3" s="61"/>
      <c r="L3" s="61">
        <v>990</v>
      </c>
      <c r="M3" s="61">
        <v>393</v>
      </c>
      <c r="N3" s="61"/>
      <c r="O3" s="61">
        <v>0</v>
      </c>
      <c r="P3" s="61">
        <f>SUM(E3:L3)</f>
        <v>1990</v>
      </c>
    </row>
    <row r="4" spans="2:16" ht="18">
      <c r="B4" s="62">
        <v>2</v>
      </c>
      <c r="C4" s="63" t="s">
        <v>1</v>
      </c>
      <c r="D4" s="61" t="s">
        <v>120</v>
      </c>
      <c r="E4" s="61" t="s">
        <v>115</v>
      </c>
      <c r="F4" s="61">
        <v>40</v>
      </c>
      <c r="G4" s="61">
        <v>130</v>
      </c>
      <c r="H4" s="61">
        <v>75</v>
      </c>
      <c r="I4" s="61">
        <v>250</v>
      </c>
      <c r="J4" s="61">
        <v>50</v>
      </c>
      <c r="K4" s="61">
        <v>135</v>
      </c>
      <c r="L4" s="61">
        <v>376</v>
      </c>
      <c r="M4" s="61">
        <v>393</v>
      </c>
      <c r="N4" s="61"/>
      <c r="O4" s="61">
        <v>50</v>
      </c>
      <c r="P4" s="61">
        <f>SUM(E4:L4)</f>
        <v>1056</v>
      </c>
    </row>
    <row r="5" spans="2:16" ht="18">
      <c r="B5" s="62">
        <v>3</v>
      </c>
      <c r="C5" s="63" t="s">
        <v>12</v>
      </c>
      <c r="D5" s="61" t="s">
        <v>120</v>
      </c>
      <c r="E5" s="61" t="s">
        <v>115</v>
      </c>
      <c r="F5" s="61">
        <v>40</v>
      </c>
      <c r="G5" s="61">
        <v>130</v>
      </c>
      <c r="H5" s="61">
        <v>75</v>
      </c>
      <c r="I5" s="61"/>
      <c r="J5" s="61">
        <v>50</v>
      </c>
      <c r="K5" s="61">
        <v>135</v>
      </c>
      <c r="L5" s="61">
        <v>376</v>
      </c>
      <c r="M5" s="61">
        <v>393</v>
      </c>
      <c r="N5" s="61"/>
      <c r="O5" s="61">
        <v>50</v>
      </c>
      <c r="P5" s="61">
        <f>SUM(E5:K5)</f>
        <v>430</v>
      </c>
    </row>
    <row r="6" spans="2:16" ht="18">
      <c r="B6" s="62">
        <v>4</v>
      </c>
      <c r="C6" s="63" t="s">
        <v>20</v>
      </c>
      <c r="D6" s="61" t="s">
        <v>120</v>
      </c>
      <c r="E6" s="61" t="s">
        <v>115</v>
      </c>
      <c r="F6" s="61">
        <v>40</v>
      </c>
      <c r="G6" s="61">
        <v>130</v>
      </c>
      <c r="H6" s="61"/>
      <c r="I6" s="61"/>
      <c r="J6" s="61">
        <v>50</v>
      </c>
      <c r="K6" s="61">
        <v>135</v>
      </c>
      <c r="L6" s="61">
        <v>376</v>
      </c>
      <c r="M6" s="61">
        <v>393</v>
      </c>
      <c r="N6" s="61"/>
      <c r="O6" s="61">
        <v>50</v>
      </c>
      <c r="P6" s="61">
        <f>SUM(E6:K6)</f>
        <v>355</v>
      </c>
    </row>
    <row r="7" spans="2:16">
      <c r="B7" s="56"/>
      <c r="C7" s="56"/>
      <c r="D7" s="64"/>
      <c r="E7" s="64"/>
      <c r="F7" s="64"/>
      <c r="G7" s="64"/>
      <c r="H7" s="64"/>
      <c r="I7" s="64"/>
      <c r="J7" s="64"/>
      <c r="K7" s="64" t="s">
        <v>104</v>
      </c>
      <c r="L7" s="64" t="s">
        <v>105</v>
      </c>
      <c r="M7" s="64" t="s">
        <v>104</v>
      </c>
      <c r="N7" s="64" t="s">
        <v>105</v>
      </c>
      <c r="O7" s="64"/>
      <c r="P7" s="64"/>
    </row>
    <row r="8" spans="2:16" ht="18">
      <c r="B8" s="63">
        <v>5</v>
      </c>
      <c r="C8" s="63" t="s">
        <v>84</v>
      </c>
      <c r="D8" s="61" t="s">
        <v>120</v>
      </c>
      <c r="E8" s="61" t="s">
        <v>116</v>
      </c>
      <c r="F8" s="61">
        <v>40</v>
      </c>
      <c r="G8" s="61">
        <v>130</v>
      </c>
      <c r="H8" s="61">
        <v>75</v>
      </c>
      <c r="I8" s="61">
        <v>705</v>
      </c>
      <c r="J8" s="61">
        <v>50</v>
      </c>
      <c r="K8" s="61"/>
      <c r="L8" s="61">
        <v>990</v>
      </c>
      <c r="M8" s="61">
        <v>197</v>
      </c>
      <c r="N8" s="61"/>
      <c r="O8" s="61">
        <v>50</v>
      </c>
      <c r="P8" s="61">
        <f>SUM(E8:L8)</f>
        <v>1990</v>
      </c>
    </row>
    <row r="9" spans="2:16" ht="18">
      <c r="B9" s="63">
        <v>6</v>
      </c>
      <c r="C9" s="63" t="s">
        <v>1</v>
      </c>
      <c r="D9" s="61" t="s">
        <v>120</v>
      </c>
      <c r="E9" s="61" t="s">
        <v>116</v>
      </c>
      <c r="F9" s="61">
        <v>40</v>
      </c>
      <c r="G9" s="61">
        <v>130</v>
      </c>
      <c r="H9" s="61">
        <v>75</v>
      </c>
      <c r="I9" s="61">
        <v>250</v>
      </c>
      <c r="J9" s="61">
        <v>50</v>
      </c>
      <c r="K9" s="61">
        <v>135</v>
      </c>
      <c r="L9" s="61">
        <v>376</v>
      </c>
      <c r="M9" s="61">
        <v>197</v>
      </c>
      <c r="N9" s="61"/>
      <c r="O9" s="61">
        <v>50</v>
      </c>
      <c r="P9" s="61">
        <f>SUM(E9:L9)</f>
        <v>1056</v>
      </c>
    </row>
    <row r="10" spans="2:16" ht="18">
      <c r="B10" s="63">
        <v>7</v>
      </c>
      <c r="C10" s="63" t="s">
        <v>12</v>
      </c>
      <c r="D10" s="61" t="s">
        <v>120</v>
      </c>
      <c r="E10" s="61" t="s">
        <v>116</v>
      </c>
      <c r="F10" s="61">
        <v>40</v>
      </c>
      <c r="G10" s="61">
        <v>130</v>
      </c>
      <c r="H10" s="61">
        <v>75</v>
      </c>
      <c r="I10" s="61"/>
      <c r="J10" s="61">
        <v>50</v>
      </c>
      <c r="K10" s="61">
        <v>135</v>
      </c>
      <c r="L10" s="61">
        <v>376</v>
      </c>
      <c r="M10" s="61">
        <v>197</v>
      </c>
      <c r="N10" s="61"/>
      <c r="O10" s="61">
        <v>50</v>
      </c>
      <c r="P10" s="61">
        <f>SUM(E10:K10)</f>
        <v>430</v>
      </c>
    </row>
    <row r="11" spans="2:16" ht="18">
      <c r="B11" s="63">
        <v>8</v>
      </c>
      <c r="C11" s="63" t="s">
        <v>20</v>
      </c>
      <c r="D11" s="61" t="s">
        <v>120</v>
      </c>
      <c r="E11" s="61" t="s">
        <v>116</v>
      </c>
      <c r="F11" s="61">
        <v>40</v>
      </c>
      <c r="G11" s="61">
        <v>130</v>
      </c>
      <c r="H11" s="61"/>
      <c r="I11" s="61"/>
      <c r="J11" s="61">
        <v>50</v>
      </c>
      <c r="K11" s="61">
        <v>135</v>
      </c>
      <c r="L11" s="61">
        <v>376</v>
      </c>
      <c r="M11" s="61">
        <v>197</v>
      </c>
      <c r="N11" s="61"/>
      <c r="O11" s="61">
        <v>50</v>
      </c>
      <c r="P11" s="61">
        <f>SUM(E11:K11)</f>
        <v>355</v>
      </c>
    </row>
    <row r="12" spans="2:16">
      <c r="B12" s="56"/>
      <c r="C12" s="64"/>
      <c r="D12" s="64"/>
      <c r="E12" s="64"/>
      <c r="F12" s="64"/>
      <c r="G12" s="64"/>
      <c r="H12" s="64"/>
      <c r="I12" s="64"/>
      <c r="J12" s="64"/>
      <c r="K12" s="64" t="s">
        <v>104</v>
      </c>
      <c r="L12" s="64" t="s">
        <v>105</v>
      </c>
      <c r="M12" s="64" t="s">
        <v>104</v>
      </c>
      <c r="N12" s="64" t="s">
        <v>105</v>
      </c>
      <c r="O12" s="64"/>
      <c r="P12" s="64"/>
    </row>
    <row r="13" spans="2:16" ht="18">
      <c r="B13" s="63">
        <v>9</v>
      </c>
      <c r="C13" s="63" t="s">
        <v>84</v>
      </c>
      <c r="D13" s="61" t="s">
        <v>120</v>
      </c>
      <c r="E13" s="61" t="s">
        <v>117</v>
      </c>
      <c r="F13" s="61">
        <v>40</v>
      </c>
      <c r="G13" s="61">
        <v>130</v>
      </c>
      <c r="H13" s="61">
        <v>75</v>
      </c>
      <c r="I13" s="61">
        <v>705</v>
      </c>
      <c r="J13" s="61">
        <v>50</v>
      </c>
      <c r="K13" s="61"/>
      <c r="L13" s="61">
        <v>990</v>
      </c>
      <c r="M13" s="61">
        <v>0</v>
      </c>
      <c r="N13" s="61"/>
      <c r="O13" s="61">
        <v>50</v>
      </c>
      <c r="P13" s="61">
        <f>SUM(E13:L13)</f>
        <v>1990</v>
      </c>
    </row>
    <row r="14" spans="2:16" ht="18">
      <c r="B14" s="63">
        <v>10</v>
      </c>
      <c r="C14" s="63" t="s">
        <v>1</v>
      </c>
      <c r="D14" s="61" t="s">
        <v>120</v>
      </c>
      <c r="E14" s="61" t="s">
        <v>117</v>
      </c>
      <c r="F14" s="61">
        <v>40</v>
      </c>
      <c r="G14" s="61">
        <v>130</v>
      </c>
      <c r="H14" s="61">
        <v>75</v>
      </c>
      <c r="I14" s="61">
        <v>250</v>
      </c>
      <c r="J14" s="61">
        <v>50</v>
      </c>
      <c r="K14" s="61">
        <v>135</v>
      </c>
      <c r="L14" s="61">
        <v>376</v>
      </c>
      <c r="M14" s="61">
        <v>0</v>
      </c>
      <c r="N14" s="61"/>
      <c r="O14" s="61">
        <v>50</v>
      </c>
      <c r="P14" s="61">
        <f>SUM(E14:L14)</f>
        <v>1056</v>
      </c>
    </row>
    <row r="15" spans="2:16" ht="18">
      <c r="B15" s="63">
        <v>11</v>
      </c>
      <c r="C15" s="63" t="s">
        <v>12</v>
      </c>
      <c r="D15" s="61" t="s">
        <v>120</v>
      </c>
      <c r="E15" s="61" t="s">
        <v>117</v>
      </c>
      <c r="F15" s="61">
        <v>40</v>
      </c>
      <c r="G15" s="61">
        <v>130</v>
      </c>
      <c r="H15" s="61">
        <v>75</v>
      </c>
      <c r="I15" s="61"/>
      <c r="J15" s="61">
        <v>50</v>
      </c>
      <c r="K15" s="61">
        <v>135</v>
      </c>
      <c r="L15" s="61">
        <v>376</v>
      </c>
      <c r="M15" s="61">
        <v>0</v>
      </c>
      <c r="N15" s="61"/>
      <c r="O15" s="61">
        <v>50</v>
      </c>
      <c r="P15" s="61">
        <f>SUM(E15:K15)</f>
        <v>430</v>
      </c>
    </row>
    <row r="16" spans="2:16" ht="18">
      <c r="B16" s="63">
        <v>12</v>
      </c>
      <c r="C16" s="63" t="s">
        <v>20</v>
      </c>
      <c r="D16" s="61" t="s">
        <v>120</v>
      </c>
      <c r="E16" s="61" t="s">
        <v>117</v>
      </c>
      <c r="F16" s="61">
        <v>40</v>
      </c>
      <c r="G16" s="61">
        <v>130</v>
      </c>
      <c r="H16" s="61"/>
      <c r="I16" s="61"/>
      <c r="J16" s="61">
        <v>50</v>
      </c>
      <c r="K16" s="61">
        <v>135</v>
      </c>
      <c r="L16" s="61">
        <v>376</v>
      </c>
      <c r="M16" s="61">
        <v>0</v>
      </c>
      <c r="N16" s="61"/>
      <c r="O16" s="61">
        <v>50</v>
      </c>
      <c r="P16" s="61">
        <f>SUM(E16:K16)</f>
        <v>355</v>
      </c>
    </row>
    <row r="17" spans="2:16">
      <c r="B17" s="56"/>
      <c r="C17" s="64"/>
      <c r="D17" s="64"/>
      <c r="E17" s="64"/>
      <c r="F17" s="64"/>
      <c r="G17" s="64"/>
      <c r="H17" s="64"/>
      <c r="I17" s="64"/>
      <c r="J17" s="64"/>
      <c r="K17" s="64"/>
      <c r="L17" s="64"/>
      <c r="M17" s="64"/>
      <c r="N17" s="64"/>
      <c r="O17" s="64"/>
      <c r="P17" s="64"/>
    </row>
    <row r="18" spans="2:16" ht="18">
      <c r="B18" s="63">
        <v>1</v>
      </c>
      <c r="C18" s="63" t="s">
        <v>84</v>
      </c>
      <c r="D18" s="61" t="s">
        <v>122</v>
      </c>
      <c r="E18" s="61" t="s">
        <v>115</v>
      </c>
      <c r="F18" s="61"/>
      <c r="G18" s="61"/>
      <c r="H18" s="61"/>
      <c r="I18" s="61"/>
      <c r="J18" s="61"/>
      <c r="K18" s="61"/>
      <c r="L18" s="61"/>
      <c r="M18" s="61"/>
      <c r="N18" s="61"/>
      <c r="O18" s="61"/>
      <c r="P18" s="61"/>
    </row>
    <row r="19" spans="2:16" ht="18">
      <c r="B19" s="63">
        <v>2</v>
      </c>
      <c r="C19" s="63" t="s">
        <v>1</v>
      </c>
      <c r="D19" s="61" t="s">
        <v>122</v>
      </c>
      <c r="E19" s="61" t="s">
        <v>115</v>
      </c>
      <c r="F19" s="61">
        <v>40</v>
      </c>
      <c r="G19" s="61">
        <v>130</v>
      </c>
      <c r="H19" s="61">
        <v>75</v>
      </c>
      <c r="I19" s="61">
        <v>250</v>
      </c>
      <c r="J19" s="61">
        <v>50</v>
      </c>
      <c r="K19" s="61">
        <v>169</v>
      </c>
      <c r="L19" s="61">
        <v>370</v>
      </c>
      <c r="M19" s="61">
        <v>393</v>
      </c>
      <c r="N19" s="61"/>
      <c r="O19" s="61">
        <v>46</v>
      </c>
      <c r="P19" s="61">
        <f>SUM(E19:L19)</f>
        <v>1084</v>
      </c>
    </row>
    <row r="20" spans="2:16" ht="18">
      <c r="B20" s="63">
        <v>3</v>
      </c>
      <c r="C20" s="63" t="s">
        <v>12</v>
      </c>
      <c r="D20" s="61" t="s">
        <v>122</v>
      </c>
      <c r="E20" s="61" t="s">
        <v>115</v>
      </c>
      <c r="F20" s="61">
        <v>40</v>
      </c>
      <c r="G20" s="61">
        <v>130</v>
      </c>
      <c r="H20" s="61">
        <v>75</v>
      </c>
      <c r="I20" s="61"/>
      <c r="J20" s="61">
        <v>50</v>
      </c>
      <c r="K20" s="61">
        <v>169</v>
      </c>
      <c r="L20" s="61">
        <v>370</v>
      </c>
      <c r="M20" s="61">
        <v>393</v>
      </c>
      <c r="N20" s="61"/>
      <c r="O20" s="61">
        <v>46</v>
      </c>
      <c r="P20" s="61">
        <f>SUM(E20:K20)</f>
        <v>464</v>
      </c>
    </row>
    <row r="21" spans="2:16" ht="18">
      <c r="B21" s="63">
        <v>4</v>
      </c>
      <c r="C21" s="63" t="s">
        <v>20</v>
      </c>
      <c r="D21" s="61" t="s">
        <v>122</v>
      </c>
      <c r="E21" s="61" t="s">
        <v>115</v>
      </c>
      <c r="F21" s="61">
        <v>40</v>
      </c>
      <c r="G21" s="61">
        <v>130</v>
      </c>
      <c r="H21" s="61"/>
      <c r="I21" s="61"/>
      <c r="J21" s="61">
        <v>50</v>
      </c>
      <c r="K21" s="61">
        <v>169</v>
      </c>
      <c r="L21" s="61">
        <v>370</v>
      </c>
      <c r="M21" s="61">
        <v>393</v>
      </c>
      <c r="N21" s="61"/>
      <c r="O21" s="61">
        <v>46</v>
      </c>
      <c r="P21" s="61">
        <f>SUM(E21:K21)</f>
        <v>389</v>
      </c>
    </row>
    <row r="22" spans="2:16">
      <c r="B22" s="56"/>
      <c r="C22" s="64"/>
      <c r="D22" s="64"/>
      <c r="E22" s="64"/>
      <c r="F22" s="64"/>
      <c r="G22" s="64"/>
      <c r="H22" s="64"/>
      <c r="I22" s="64"/>
      <c r="J22" s="64"/>
      <c r="K22" s="64" t="s">
        <v>104</v>
      </c>
      <c r="L22" s="64" t="s">
        <v>105</v>
      </c>
      <c r="M22" s="64" t="s">
        <v>104</v>
      </c>
      <c r="N22" s="64" t="s">
        <v>105</v>
      </c>
      <c r="O22" s="64"/>
      <c r="P22" s="64"/>
    </row>
    <row r="23" spans="2:16" ht="18">
      <c r="B23" s="63">
        <v>5</v>
      </c>
      <c r="C23" s="63" t="s">
        <v>84</v>
      </c>
      <c r="D23" s="61" t="s">
        <v>122</v>
      </c>
      <c r="E23" s="61" t="s">
        <v>116</v>
      </c>
      <c r="F23" s="61"/>
      <c r="G23" s="61"/>
      <c r="H23" s="61"/>
      <c r="I23" s="61"/>
      <c r="J23" s="61"/>
      <c r="K23" s="61"/>
      <c r="L23" s="61"/>
      <c r="M23" s="61"/>
      <c r="N23" s="61"/>
      <c r="O23" s="61"/>
      <c r="P23" s="61"/>
    </row>
    <row r="24" spans="2:16" ht="18">
      <c r="B24" s="63">
        <v>6</v>
      </c>
      <c r="C24" s="63" t="s">
        <v>1</v>
      </c>
      <c r="D24" s="61" t="s">
        <v>122</v>
      </c>
      <c r="E24" s="61" t="s">
        <v>116</v>
      </c>
      <c r="F24" s="61">
        <v>40</v>
      </c>
      <c r="G24" s="61">
        <v>130</v>
      </c>
      <c r="H24" s="61">
        <v>75</v>
      </c>
      <c r="I24" s="61">
        <v>250</v>
      </c>
      <c r="J24" s="61">
        <v>50</v>
      </c>
      <c r="K24" s="61">
        <v>169</v>
      </c>
      <c r="L24" s="61">
        <v>370</v>
      </c>
      <c r="M24" s="61">
        <v>197</v>
      </c>
      <c r="N24" s="61"/>
      <c r="O24" s="61">
        <v>46</v>
      </c>
      <c r="P24" s="61">
        <f>SUM(E24:L24)</f>
        <v>1084</v>
      </c>
    </row>
    <row r="25" spans="2:16" ht="18">
      <c r="B25" s="63">
        <v>7</v>
      </c>
      <c r="C25" s="63" t="s">
        <v>12</v>
      </c>
      <c r="D25" s="61" t="s">
        <v>122</v>
      </c>
      <c r="E25" s="61" t="s">
        <v>116</v>
      </c>
      <c r="F25" s="61">
        <v>40</v>
      </c>
      <c r="G25" s="61">
        <v>130</v>
      </c>
      <c r="H25" s="61">
        <v>75</v>
      </c>
      <c r="I25" s="61"/>
      <c r="J25" s="61">
        <v>50</v>
      </c>
      <c r="K25" s="61">
        <v>169</v>
      </c>
      <c r="L25" s="61">
        <v>370</v>
      </c>
      <c r="M25" s="61">
        <v>197</v>
      </c>
      <c r="N25" s="61"/>
      <c r="O25" s="61">
        <v>46</v>
      </c>
      <c r="P25" s="61">
        <f>SUM(E25:K25)</f>
        <v>464</v>
      </c>
    </row>
    <row r="26" spans="2:16" ht="18">
      <c r="B26" s="63">
        <v>8</v>
      </c>
      <c r="C26" s="63" t="s">
        <v>20</v>
      </c>
      <c r="D26" s="61" t="s">
        <v>122</v>
      </c>
      <c r="E26" s="61" t="s">
        <v>116</v>
      </c>
      <c r="F26" s="61">
        <v>40</v>
      </c>
      <c r="G26" s="61">
        <v>130</v>
      </c>
      <c r="H26" s="61"/>
      <c r="I26" s="61"/>
      <c r="J26" s="61">
        <v>50</v>
      </c>
      <c r="K26" s="61">
        <v>169</v>
      </c>
      <c r="L26" s="61">
        <v>370</v>
      </c>
      <c r="M26" s="61">
        <v>197</v>
      </c>
      <c r="N26" s="61"/>
      <c r="O26" s="61">
        <v>46</v>
      </c>
      <c r="P26" s="61">
        <f>SUM(E26:K26)</f>
        <v>389</v>
      </c>
    </row>
    <row r="27" spans="2:16">
      <c r="B27" s="56"/>
      <c r="C27" s="64"/>
      <c r="D27" s="64"/>
      <c r="E27" s="64"/>
      <c r="F27" s="64"/>
      <c r="G27" s="64"/>
      <c r="H27" s="64"/>
      <c r="I27" s="64"/>
      <c r="J27" s="64"/>
      <c r="K27" s="64" t="s">
        <v>104</v>
      </c>
      <c r="L27" s="64" t="s">
        <v>105</v>
      </c>
      <c r="M27" s="64" t="s">
        <v>104</v>
      </c>
      <c r="N27" s="64" t="s">
        <v>105</v>
      </c>
      <c r="O27" s="64"/>
      <c r="P27" s="64"/>
    </row>
    <row r="28" spans="2:16" ht="18">
      <c r="B28" s="63">
        <v>9</v>
      </c>
      <c r="C28" s="63" t="s">
        <v>84</v>
      </c>
      <c r="D28" s="61" t="s">
        <v>122</v>
      </c>
      <c r="E28" s="61" t="s">
        <v>117</v>
      </c>
      <c r="F28" s="61"/>
      <c r="G28" s="61"/>
      <c r="H28" s="61"/>
      <c r="I28" s="61"/>
      <c r="J28" s="61"/>
      <c r="K28" s="61"/>
      <c r="L28" s="61"/>
      <c r="M28" s="61"/>
      <c r="N28" s="61"/>
      <c r="O28" s="61"/>
      <c r="P28" s="61"/>
    </row>
    <row r="29" spans="2:16" ht="18">
      <c r="B29" s="63">
        <v>10</v>
      </c>
      <c r="C29" s="63" t="s">
        <v>1</v>
      </c>
      <c r="D29" s="61" t="s">
        <v>122</v>
      </c>
      <c r="E29" s="61" t="s">
        <v>117</v>
      </c>
      <c r="F29" s="61">
        <v>40</v>
      </c>
      <c r="G29" s="61">
        <v>130</v>
      </c>
      <c r="H29" s="61">
        <v>75</v>
      </c>
      <c r="I29" s="61">
        <v>250</v>
      </c>
      <c r="J29" s="61">
        <v>50</v>
      </c>
      <c r="K29" s="61">
        <v>169</v>
      </c>
      <c r="L29" s="61">
        <v>370</v>
      </c>
      <c r="M29" s="61">
        <v>0</v>
      </c>
      <c r="N29" s="61"/>
      <c r="O29" s="61">
        <v>46</v>
      </c>
      <c r="P29" s="61">
        <f>SUM(E29:L29)</f>
        <v>1084</v>
      </c>
    </row>
    <row r="30" spans="2:16" ht="18">
      <c r="B30" s="63">
        <v>11</v>
      </c>
      <c r="C30" s="63" t="s">
        <v>12</v>
      </c>
      <c r="D30" s="61" t="s">
        <v>122</v>
      </c>
      <c r="E30" s="61" t="s">
        <v>117</v>
      </c>
      <c r="F30" s="61">
        <v>40</v>
      </c>
      <c r="G30" s="61">
        <v>130</v>
      </c>
      <c r="H30" s="61">
        <v>75</v>
      </c>
      <c r="I30" s="61"/>
      <c r="J30" s="61">
        <v>50</v>
      </c>
      <c r="K30" s="61">
        <v>169</v>
      </c>
      <c r="L30" s="61">
        <v>370</v>
      </c>
      <c r="M30" s="61">
        <v>0</v>
      </c>
      <c r="N30" s="61"/>
      <c r="O30" s="61">
        <v>46</v>
      </c>
      <c r="P30" s="61">
        <f>SUM(E30:K30)</f>
        <v>464</v>
      </c>
    </row>
    <row r="31" spans="2:16" ht="18">
      <c r="B31" s="63">
        <v>12</v>
      </c>
      <c r="C31" s="63" t="s">
        <v>20</v>
      </c>
      <c r="D31" s="61" t="s">
        <v>122</v>
      </c>
      <c r="E31" s="61" t="s">
        <v>117</v>
      </c>
      <c r="F31" s="61">
        <v>40</v>
      </c>
      <c r="G31" s="61">
        <v>130</v>
      </c>
      <c r="H31" s="61"/>
      <c r="I31" s="61"/>
      <c r="J31" s="61">
        <v>50</v>
      </c>
      <c r="K31" s="61">
        <v>169</v>
      </c>
      <c r="L31" s="61">
        <v>370</v>
      </c>
      <c r="M31" s="61">
        <v>0</v>
      </c>
      <c r="N31" s="61"/>
      <c r="O31" s="61">
        <v>46</v>
      </c>
      <c r="P31" s="61">
        <f>SUM(E31:K31)</f>
        <v>389</v>
      </c>
    </row>
    <row r="32" spans="2:16">
      <c r="B32" s="56"/>
      <c r="C32" s="64"/>
      <c r="D32" s="64"/>
      <c r="E32" s="64"/>
      <c r="F32" s="64"/>
      <c r="G32" s="64"/>
      <c r="H32" s="64"/>
      <c r="I32" s="64"/>
      <c r="J32" s="64"/>
      <c r="K32" s="64"/>
      <c r="L32" s="64"/>
      <c r="M32" s="64"/>
      <c r="N32" s="64"/>
      <c r="O32" s="64"/>
      <c r="P32" s="64"/>
    </row>
    <row r="33" spans="2:16" ht="18">
      <c r="B33" s="63">
        <v>1</v>
      </c>
      <c r="C33" s="63" t="s">
        <v>84</v>
      </c>
      <c r="D33" s="61" t="s">
        <v>123</v>
      </c>
      <c r="E33" s="61" t="s">
        <v>115</v>
      </c>
      <c r="F33" s="61"/>
      <c r="G33" s="61"/>
      <c r="H33" s="61"/>
      <c r="I33" s="61"/>
      <c r="J33" s="61"/>
      <c r="K33" s="61"/>
      <c r="L33" s="61"/>
      <c r="M33" s="61"/>
      <c r="N33" s="61"/>
      <c r="O33" s="61"/>
      <c r="P33" s="61"/>
    </row>
    <row r="34" spans="2:16" ht="18">
      <c r="B34" s="63">
        <v>2</v>
      </c>
      <c r="C34" s="63" t="s">
        <v>1</v>
      </c>
      <c r="D34" s="61" t="s">
        <v>123</v>
      </c>
      <c r="E34" s="61" t="s">
        <v>115</v>
      </c>
      <c r="F34" s="61">
        <v>40</v>
      </c>
      <c r="G34" s="61">
        <v>130</v>
      </c>
      <c r="H34" s="61">
        <v>75</v>
      </c>
      <c r="I34" s="61">
        <v>250</v>
      </c>
      <c r="J34" s="61">
        <v>50</v>
      </c>
      <c r="K34" s="61">
        <v>44</v>
      </c>
      <c r="L34" s="61"/>
      <c r="M34" s="61">
        <v>393</v>
      </c>
      <c r="N34" s="61"/>
      <c r="O34" s="61">
        <v>76</v>
      </c>
      <c r="P34" s="61">
        <f>SUM(E34:L34)</f>
        <v>589</v>
      </c>
    </row>
    <row r="35" spans="2:16" ht="18">
      <c r="B35" s="63">
        <v>3</v>
      </c>
      <c r="C35" s="63" t="s">
        <v>12</v>
      </c>
      <c r="D35" s="61" t="s">
        <v>123</v>
      </c>
      <c r="E35" s="61" t="s">
        <v>115</v>
      </c>
      <c r="F35" s="61">
        <v>40</v>
      </c>
      <c r="G35" s="61">
        <v>130</v>
      </c>
      <c r="H35" s="61">
        <v>75</v>
      </c>
      <c r="I35" s="61"/>
      <c r="J35" s="61">
        <v>50</v>
      </c>
      <c r="K35" s="61">
        <v>44</v>
      </c>
      <c r="L35" s="61"/>
      <c r="M35" s="61">
        <v>393</v>
      </c>
      <c r="N35" s="61"/>
      <c r="O35" s="61">
        <v>76</v>
      </c>
      <c r="P35" s="61">
        <f>SUM(E35:K35)</f>
        <v>339</v>
      </c>
    </row>
    <row r="36" spans="2:16" ht="18">
      <c r="B36" s="63">
        <v>4</v>
      </c>
      <c r="C36" s="63" t="s">
        <v>20</v>
      </c>
      <c r="D36" s="61" t="s">
        <v>123</v>
      </c>
      <c r="E36" s="61" t="s">
        <v>115</v>
      </c>
      <c r="F36" s="61">
        <v>40</v>
      </c>
      <c r="G36" s="61">
        <v>130</v>
      </c>
      <c r="H36" s="61"/>
      <c r="I36" s="61"/>
      <c r="J36" s="61">
        <v>50</v>
      </c>
      <c r="K36" s="61">
        <v>44</v>
      </c>
      <c r="L36" s="61"/>
      <c r="M36" s="61">
        <v>393</v>
      </c>
      <c r="N36" s="61"/>
      <c r="O36" s="61">
        <v>76</v>
      </c>
      <c r="P36" s="61">
        <f>SUM(E36:K36)</f>
        <v>264</v>
      </c>
    </row>
    <row r="37" spans="2:16">
      <c r="B37" s="56"/>
      <c r="C37" s="64"/>
      <c r="D37" s="64"/>
      <c r="E37" s="64"/>
      <c r="F37" s="64"/>
      <c r="G37" s="64"/>
      <c r="H37" s="64"/>
      <c r="I37" s="64"/>
      <c r="J37" s="64"/>
      <c r="K37" s="64" t="s">
        <v>104</v>
      </c>
      <c r="L37" s="64" t="s">
        <v>105</v>
      </c>
      <c r="M37" s="64" t="s">
        <v>104</v>
      </c>
      <c r="N37" s="64" t="s">
        <v>105</v>
      </c>
      <c r="O37" s="64"/>
      <c r="P37" s="64"/>
    </row>
    <row r="38" spans="2:16" ht="18">
      <c r="B38" s="63">
        <v>5</v>
      </c>
      <c r="C38" s="63" t="s">
        <v>84</v>
      </c>
      <c r="D38" s="61" t="s">
        <v>123</v>
      </c>
      <c r="E38" s="61" t="s">
        <v>116</v>
      </c>
      <c r="F38" s="61"/>
      <c r="G38" s="61"/>
      <c r="H38" s="61"/>
      <c r="I38" s="61"/>
      <c r="J38" s="61"/>
      <c r="K38" s="61"/>
      <c r="L38" s="61"/>
      <c r="M38" s="61"/>
      <c r="N38" s="61"/>
      <c r="O38" s="61"/>
      <c r="P38" s="61"/>
    </row>
    <row r="39" spans="2:16" ht="18">
      <c r="B39" s="63">
        <v>6</v>
      </c>
      <c r="C39" s="63" t="s">
        <v>1</v>
      </c>
      <c r="D39" s="61" t="s">
        <v>123</v>
      </c>
      <c r="E39" s="61" t="s">
        <v>116</v>
      </c>
      <c r="F39" s="61">
        <v>40</v>
      </c>
      <c r="G39" s="61">
        <v>130</v>
      </c>
      <c r="H39" s="61">
        <v>75</v>
      </c>
      <c r="I39" s="61">
        <v>250</v>
      </c>
      <c r="J39" s="61">
        <v>50</v>
      </c>
      <c r="K39" s="61">
        <v>44</v>
      </c>
      <c r="L39" s="61"/>
      <c r="M39" s="61">
        <v>197</v>
      </c>
      <c r="N39" s="61"/>
      <c r="O39" s="61">
        <v>76</v>
      </c>
      <c r="P39" s="61">
        <f>SUM(E39:L39)</f>
        <v>589</v>
      </c>
    </row>
    <row r="40" spans="2:16" ht="18">
      <c r="B40" s="63">
        <v>7</v>
      </c>
      <c r="C40" s="63" t="s">
        <v>12</v>
      </c>
      <c r="D40" s="61" t="s">
        <v>123</v>
      </c>
      <c r="E40" s="61" t="s">
        <v>116</v>
      </c>
      <c r="F40" s="61">
        <v>40</v>
      </c>
      <c r="G40" s="61">
        <v>130</v>
      </c>
      <c r="H40" s="61">
        <v>75</v>
      </c>
      <c r="I40" s="61"/>
      <c r="J40" s="61">
        <v>50</v>
      </c>
      <c r="K40" s="61">
        <v>44</v>
      </c>
      <c r="L40" s="61"/>
      <c r="M40" s="61">
        <v>197</v>
      </c>
      <c r="N40" s="61"/>
      <c r="O40" s="61">
        <v>76</v>
      </c>
      <c r="P40" s="61">
        <f>SUM(E40:K40)</f>
        <v>339</v>
      </c>
    </row>
    <row r="41" spans="2:16" ht="18">
      <c r="B41" s="63">
        <v>8</v>
      </c>
      <c r="C41" s="63" t="s">
        <v>20</v>
      </c>
      <c r="D41" s="61" t="s">
        <v>123</v>
      </c>
      <c r="E41" s="61" t="s">
        <v>116</v>
      </c>
      <c r="F41" s="61">
        <v>40</v>
      </c>
      <c r="G41" s="61">
        <v>130</v>
      </c>
      <c r="H41" s="61"/>
      <c r="I41" s="61"/>
      <c r="J41" s="61">
        <v>50</v>
      </c>
      <c r="K41" s="61">
        <v>44</v>
      </c>
      <c r="L41" s="61"/>
      <c r="M41" s="61">
        <v>197</v>
      </c>
      <c r="N41" s="61"/>
      <c r="O41" s="61">
        <v>76</v>
      </c>
      <c r="P41" s="61">
        <f>SUM(E41:K41)</f>
        <v>264</v>
      </c>
    </row>
    <row r="42" spans="2:16">
      <c r="B42" s="56"/>
      <c r="C42" s="64"/>
      <c r="D42" s="64"/>
      <c r="E42" s="64"/>
      <c r="F42" s="64"/>
      <c r="G42" s="64"/>
      <c r="H42" s="64"/>
      <c r="I42" s="64"/>
      <c r="J42" s="64"/>
      <c r="K42" s="64" t="s">
        <v>104</v>
      </c>
      <c r="L42" s="64" t="s">
        <v>105</v>
      </c>
      <c r="M42" s="64" t="s">
        <v>104</v>
      </c>
      <c r="N42" s="64" t="s">
        <v>105</v>
      </c>
      <c r="O42" s="64"/>
      <c r="P42" s="64"/>
    </row>
    <row r="43" spans="2:16" ht="18">
      <c r="B43" s="63">
        <v>9</v>
      </c>
      <c r="C43" s="63" t="s">
        <v>84</v>
      </c>
      <c r="D43" s="61" t="s">
        <v>123</v>
      </c>
      <c r="E43" s="61" t="s">
        <v>117</v>
      </c>
      <c r="F43" s="61"/>
      <c r="G43" s="61"/>
      <c r="H43" s="61"/>
      <c r="I43" s="61"/>
      <c r="J43" s="61"/>
      <c r="K43" s="61"/>
      <c r="L43" s="61"/>
      <c r="M43" s="61"/>
      <c r="N43" s="61"/>
      <c r="O43" s="61"/>
      <c r="P43" s="61"/>
    </row>
    <row r="44" spans="2:16" ht="18">
      <c r="B44" s="63">
        <v>10</v>
      </c>
      <c r="C44" s="63" t="s">
        <v>1</v>
      </c>
      <c r="D44" s="61" t="s">
        <v>123</v>
      </c>
      <c r="E44" s="61" t="s">
        <v>117</v>
      </c>
      <c r="F44" s="61">
        <v>40</v>
      </c>
      <c r="G44" s="61">
        <v>130</v>
      </c>
      <c r="H44" s="61">
        <v>75</v>
      </c>
      <c r="I44" s="61">
        <v>250</v>
      </c>
      <c r="J44" s="61">
        <v>50</v>
      </c>
      <c r="K44" s="61">
        <v>44</v>
      </c>
      <c r="L44" s="61"/>
      <c r="M44" s="61">
        <v>0</v>
      </c>
      <c r="N44" s="61"/>
      <c r="O44" s="61">
        <v>76</v>
      </c>
      <c r="P44" s="61">
        <f>SUM(E44:L44)</f>
        <v>589</v>
      </c>
    </row>
    <row r="45" spans="2:16" ht="18">
      <c r="B45" s="63">
        <v>11</v>
      </c>
      <c r="C45" s="63" t="s">
        <v>12</v>
      </c>
      <c r="D45" s="61" t="s">
        <v>123</v>
      </c>
      <c r="E45" s="61" t="s">
        <v>117</v>
      </c>
      <c r="F45" s="61">
        <v>40</v>
      </c>
      <c r="G45" s="61">
        <v>130</v>
      </c>
      <c r="H45" s="61">
        <v>75</v>
      </c>
      <c r="I45" s="61"/>
      <c r="J45" s="61">
        <v>50</v>
      </c>
      <c r="K45" s="61">
        <v>44</v>
      </c>
      <c r="L45" s="61"/>
      <c r="M45" s="61">
        <v>0</v>
      </c>
      <c r="N45" s="61"/>
      <c r="O45" s="61">
        <v>76</v>
      </c>
      <c r="P45" s="61">
        <f>SUM(E45:K45)</f>
        <v>339</v>
      </c>
    </row>
    <row r="46" spans="2:16" ht="18">
      <c r="B46" s="63">
        <v>12</v>
      </c>
      <c r="C46" s="63" t="s">
        <v>20</v>
      </c>
      <c r="D46" s="61" t="s">
        <v>123</v>
      </c>
      <c r="E46" s="61" t="s">
        <v>117</v>
      </c>
      <c r="F46" s="61">
        <v>40</v>
      </c>
      <c r="G46" s="61">
        <v>130</v>
      </c>
      <c r="H46" s="61"/>
      <c r="I46" s="61"/>
      <c r="J46" s="61">
        <v>50</v>
      </c>
      <c r="K46" s="61">
        <v>44</v>
      </c>
      <c r="L46" s="61"/>
      <c r="M46" s="61">
        <v>0</v>
      </c>
      <c r="N46" s="61"/>
      <c r="O46" s="61">
        <v>76</v>
      </c>
      <c r="P46" s="61">
        <f>SUM(E46:K46)</f>
        <v>264</v>
      </c>
    </row>
    <row r="47" spans="2:16">
      <c r="B47" s="56"/>
      <c r="C47" s="64"/>
      <c r="D47" s="64"/>
      <c r="E47" s="64"/>
      <c r="F47" s="64"/>
      <c r="G47" s="64"/>
      <c r="H47" s="64"/>
      <c r="I47" s="64"/>
      <c r="J47" s="64"/>
      <c r="K47" s="64"/>
      <c r="L47" s="64"/>
      <c r="M47" s="64"/>
      <c r="N47" s="64"/>
      <c r="O47" s="64"/>
      <c r="P47" s="64"/>
    </row>
    <row r="48" spans="2:16" ht="18">
      <c r="B48" s="63">
        <v>1</v>
      </c>
      <c r="C48" s="63" t="s">
        <v>84</v>
      </c>
      <c r="D48" s="61" t="s">
        <v>125</v>
      </c>
      <c r="E48" s="61" t="s">
        <v>115</v>
      </c>
      <c r="F48" s="61"/>
      <c r="G48" s="61"/>
      <c r="H48" s="61"/>
      <c r="I48" s="61"/>
      <c r="J48" s="61"/>
      <c r="K48" s="61"/>
      <c r="L48" s="61"/>
      <c r="M48" s="61"/>
      <c r="N48" s="61"/>
      <c r="O48" s="61"/>
      <c r="P48" s="61"/>
    </row>
    <row r="49" spans="2:16" ht="18">
      <c r="B49" s="63">
        <v>2</v>
      </c>
      <c r="C49" s="63" t="s">
        <v>1</v>
      </c>
      <c r="D49" s="61" t="s">
        <v>125</v>
      </c>
      <c r="E49" s="61" t="s">
        <v>115</v>
      </c>
      <c r="F49" s="61">
        <v>40</v>
      </c>
      <c r="G49" s="61">
        <v>130</v>
      </c>
      <c r="H49" s="61">
        <v>75</v>
      </c>
      <c r="I49" s="61">
        <v>250</v>
      </c>
      <c r="J49" s="61">
        <v>50</v>
      </c>
      <c r="K49" s="61">
        <v>44</v>
      </c>
      <c r="L49" s="61"/>
      <c r="M49" s="61">
        <v>393</v>
      </c>
      <c r="N49" s="61"/>
      <c r="O49" s="61">
        <v>76</v>
      </c>
      <c r="P49" s="61">
        <f>SUM(E49:L49)</f>
        <v>589</v>
      </c>
    </row>
    <row r="50" spans="2:16" ht="18">
      <c r="B50" s="63">
        <v>3</v>
      </c>
      <c r="C50" s="63" t="s">
        <v>12</v>
      </c>
      <c r="D50" s="61" t="s">
        <v>125</v>
      </c>
      <c r="E50" s="61" t="s">
        <v>115</v>
      </c>
      <c r="F50" s="61">
        <v>40</v>
      </c>
      <c r="G50" s="61">
        <v>130</v>
      </c>
      <c r="H50" s="61">
        <v>75</v>
      </c>
      <c r="I50" s="61"/>
      <c r="J50" s="61">
        <v>50</v>
      </c>
      <c r="K50" s="61">
        <v>44</v>
      </c>
      <c r="L50" s="61"/>
      <c r="M50" s="61">
        <v>393</v>
      </c>
      <c r="N50" s="61"/>
      <c r="O50" s="61">
        <v>76</v>
      </c>
      <c r="P50" s="61">
        <f>SUM(E50:K50)</f>
        <v>339</v>
      </c>
    </row>
    <row r="51" spans="2:16" ht="18">
      <c r="B51" s="63">
        <v>4</v>
      </c>
      <c r="C51" s="63" t="s">
        <v>20</v>
      </c>
      <c r="D51" s="61" t="s">
        <v>125</v>
      </c>
      <c r="E51" s="61" t="s">
        <v>115</v>
      </c>
      <c r="F51" s="61">
        <v>40</v>
      </c>
      <c r="G51" s="61">
        <v>130</v>
      </c>
      <c r="H51" s="61"/>
      <c r="I51" s="61"/>
      <c r="J51" s="61">
        <v>50</v>
      </c>
      <c r="K51" s="61">
        <v>44</v>
      </c>
      <c r="L51" s="61"/>
      <c r="M51" s="61">
        <v>393</v>
      </c>
      <c r="N51" s="61"/>
      <c r="O51" s="61">
        <v>76</v>
      </c>
      <c r="P51" s="61">
        <f>SUM(E51:K51)</f>
        <v>264</v>
      </c>
    </row>
    <row r="52" spans="2:16">
      <c r="B52" s="56"/>
      <c r="C52" s="64"/>
      <c r="D52" s="64"/>
      <c r="E52" s="64"/>
      <c r="F52" s="64"/>
      <c r="G52" s="64"/>
      <c r="H52" s="64"/>
      <c r="I52" s="64"/>
      <c r="J52" s="64"/>
      <c r="K52" s="64" t="s">
        <v>104</v>
      </c>
      <c r="L52" s="64" t="s">
        <v>105</v>
      </c>
      <c r="M52" s="64" t="s">
        <v>104</v>
      </c>
      <c r="N52" s="64" t="s">
        <v>105</v>
      </c>
      <c r="O52" s="64"/>
      <c r="P52" s="64"/>
    </row>
    <row r="53" spans="2:16" ht="18">
      <c r="B53" s="63">
        <v>5</v>
      </c>
      <c r="C53" s="63" t="s">
        <v>84</v>
      </c>
      <c r="D53" s="61" t="s">
        <v>125</v>
      </c>
      <c r="E53" s="61" t="s">
        <v>116</v>
      </c>
      <c r="F53" s="61"/>
      <c r="G53" s="61"/>
      <c r="H53" s="61"/>
      <c r="I53" s="61"/>
      <c r="J53" s="61"/>
      <c r="K53" s="61"/>
      <c r="L53" s="61"/>
      <c r="M53" s="61"/>
      <c r="N53" s="61"/>
      <c r="O53" s="61"/>
      <c r="P53" s="61"/>
    </row>
    <row r="54" spans="2:16" ht="18">
      <c r="B54" s="63">
        <v>6</v>
      </c>
      <c r="C54" s="63" t="s">
        <v>1</v>
      </c>
      <c r="D54" s="61" t="s">
        <v>125</v>
      </c>
      <c r="E54" s="61" t="s">
        <v>116</v>
      </c>
      <c r="F54" s="61">
        <v>40</v>
      </c>
      <c r="G54" s="61">
        <v>130</v>
      </c>
      <c r="H54" s="61">
        <v>75</v>
      </c>
      <c r="I54" s="61">
        <v>250</v>
      </c>
      <c r="J54" s="61">
        <v>50</v>
      </c>
      <c r="K54" s="61">
        <v>44</v>
      </c>
      <c r="L54" s="61"/>
      <c r="M54" s="61">
        <v>197</v>
      </c>
      <c r="N54" s="61"/>
      <c r="O54" s="61">
        <v>76</v>
      </c>
      <c r="P54" s="61">
        <f>SUM(E54:L54)</f>
        <v>589</v>
      </c>
    </row>
    <row r="55" spans="2:16" ht="18">
      <c r="B55" s="63">
        <v>7</v>
      </c>
      <c r="C55" s="63" t="s">
        <v>12</v>
      </c>
      <c r="D55" s="61" t="s">
        <v>125</v>
      </c>
      <c r="E55" s="61" t="s">
        <v>116</v>
      </c>
      <c r="F55" s="61">
        <v>40</v>
      </c>
      <c r="G55" s="61">
        <v>130</v>
      </c>
      <c r="H55" s="61">
        <v>75</v>
      </c>
      <c r="I55" s="61"/>
      <c r="J55" s="61">
        <v>50</v>
      </c>
      <c r="K55" s="61">
        <v>44</v>
      </c>
      <c r="L55" s="61"/>
      <c r="M55" s="61">
        <v>197</v>
      </c>
      <c r="N55" s="61"/>
      <c r="O55" s="61">
        <v>76</v>
      </c>
      <c r="P55" s="61">
        <f>SUM(E55:K55)</f>
        <v>339</v>
      </c>
    </row>
    <row r="56" spans="2:16" ht="18">
      <c r="B56" s="63">
        <v>8</v>
      </c>
      <c r="C56" s="63" t="s">
        <v>20</v>
      </c>
      <c r="D56" s="61" t="s">
        <v>125</v>
      </c>
      <c r="E56" s="61" t="s">
        <v>116</v>
      </c>
      <c r="F56" s="61">
        <v>40</v>
      </c>
      <c r="G56" s="61">
        <v>130</v>
      </c>
      <c r="H56" s="61"/>
      <c r="I56" s="61"/>
      <c r="J56" s="61">
        <v>50</v>
      </c>
      <c r="K56" s="61">
        <v>44</v>
      </c>
      <c r="L56" s="61"/>
      <c r="M56" s="61">
        <v>197</v>
      </c>
      <c r="N56" s="61"/>
      <c r="O56" s="61">
        <v>76</v>
      </c>
      <c r="P56" s="61">
        <f>SUM(E56:K56)</f>
        <v>264</v>
      </c>
    </row>
    <row r="57" spans="2:16">
      <c r="B57" s="56"/>
      <c r="C57" s="56"/>
      <c r="D57" s="64"/>
      <c r="E57" s="64"/>
      <c r="F57" s="64"/>
      <c r="G57" s="64"/>
      <c r="H57" s="64"/>
      <c r="I57" s="64"/>
      <c r="J57" s="64"/>
      <c r="K57" s="64" t="s">
        <v>104</v>
      </c>
      <c r="L57" s="64" t="s">
        <v>105</v>
      </c>
      <c r="M57" s="64" t="s">
        <v>104</v>
      </c>
      <c r="N57" s="64" t="s">
        <v>105</v>
      </c>
      <c r="O57" s="64"/>
      <c r="P57" s="64"/>
    </row>
    <row r="58" spans="2:16" ht="18">
      <c r="B58" s="63">
        <v>9</v>
      </c>
      <c r="C58" s="63" t="s">
        <v>84</v>
      </c>
      <c r="D58" s="61" t="s">
        <v>125</v>
      </c>
      <c r="E58" s="61" t="s">
        <v>117</v>
      </c>
      <c r="F58" s="61"/>
      <c r="G58" s="61"/>
      <c r="H58" s="61"/>
      <c r="I58" s="61"/>
      <c r="J58" s="61"/>
      <c r="K58" s="61"/>
      <c r="L58" s="61"/>
      <c r="M58" s="61"/>
      <c r="N58" s="61"/>
      <c r="O58" s="61"/>
      <c r="P58" s="61"/>
    </row>
    <row r="59" spans="2:16" ht="18">
      <c r="B59" s="63">
        <v>10</v>
      </c>
      <c r="C59" s="63" t="s">
        <v>1</v>
      </c>
      <c r="D59" s="61" t="s">
        <v>125</v>
      </c>
      <c r="E59" s="61" t="s">
        <v>117</v>
      </c>
      <c r="F59" s="61">
        <v>40</v>
      </c>
      <c r="G59" s="61">
        <v>130</v>
      </c>
      <c r="H59" s="61">
        <v>75</v>
      </c>
      <c r="I59" s="61">
        <v>250</v>
      </c>
      <c r="J59" s="61">
        <v>50</v>
      </c>
      <c r="K59" s="61">
        <v>44</v>
      </c>
      <c r="L59" s="61"/>
      <c r="M59" s="61">
        <v>0</v>
      </c>
      <c r="N59" s="61"/>
      <c r="O59" s="61">
        <v>76</v>
      </c>
      <c r="P59" s="61">
        <f>SUM(E59:L59)</f>
        <v>589</v>
      </c>
    </row>
    <row r="60" spans="2:16" ht="18">
      <c r="B60" s="63">
        <v>11</v>
      </c>
      <c r="C60" s="63" t="s">
        <v>12</v>
      </c>
      <c r="D60" s="61" t="s">
        <v>125</v>
      </c>
      <c r="E60" s="61" t="s">
        <v>117</v>
      </c>
      <c r="F60" s="61">
        <v>40</v>
      </c>
      <c r="G60" s="61">
        <v>130</v>
      </c>
      <c r="H60" s="61">
        <v>75</v>
      </c>
      <c r="I60" s="61"/>
      <c r="J60" s="61">
        <v>50</v>
      </c>
      <c r="K60" s="61">
        <v>44</v>
      </c>
      <c r="L60" s="61"/>
      <c r="M60" s="61">
        <v>0</v>
      </c>
      <c r="N60" s="61"/>
      <c r="O60" s="61">
        <v>76</v>
      </c>
      <c r="P60" s="61">
        <f>SUM(E60:K60)</f>
        <v>339</v>
      </c>
    </row>
    <row r="61" spans="2:16" ht="18">
      <c r="B61" s="63">
        <v>12</v>
      </c>
      <c r="C61" s="63" t="s">
        <v>20</v>
      </c>
      <c r="D61" s="61" t="s">
        <v>125</v>
      </c>
      <c r="E61" s="61" t="s">
        <v>117</v>
      </c>
      <c r="F61" s="61">
        <v>40</v>
      </c>
      <c r="G61" s="61">
        <v>130</v>
      </c>
      <c r="H61" s="61"/>
      <c r="I61" s="61"/>
      <c r="J61" s="61">
        <v>50</v>
      </c>
      <c r="K61" s="61">
        <v>44</v>
      </c>
      <c r="L61" s="61"/>
      <c r="M61" s="61">
        <v>0</v>
      </c>
      <c r="N61" s="61"/>
      <c r="O61" s="61">
        <v>76</v>
      </c>
      <c r="P61" s="61">
        <f>SUM(E61:K61)</f>
        <v>264</v>
      </c>
    </row>
    <row r="62" spans="2:16">
      <c r="B62" s="56"/>
      <c r="C62" s="56"/>
      <c r="D62" s="56"/>
      <c r="E62" s="56"/>
      <c r="F62" s="56"/>
      <c r="G62" s="56"/>
      <c r="H62" s="56"/>
      <c r="I62" s="56"/>
      <c r="J62" s="56"/>
      <c r="K62" s="56"/>
      <c r="L62" s="56"/>
      <c r="M62" s="56"/>
      <c r="N62" s="56"/>
      <c r="O62" s="56"/>
      <c r="P62" s="56"/>
    </row>
    <row r="63" spans="2:16" ht="18">
      <c r="B63" s="63">
        <v>1</v>
      </c>
      <c r="C63" s="63" t="s">
        <v>84</v>
      </c>
      <c r="D63" s="61" t="s">
        <v>126</v>
      </c>
      <c r="E63" s="61" t="s">
        <v>115</v>
      </c>
      <c r="F63" s="61"/>
      <c r="G63" s="61"/>
      <c r="H63" s="61"/>
      <c r="I63" s="61"/>
      <c r="J63" s="61"/>
      <c r="K63" s="61"/>
      <c r="L63" s="61"/>
      <c r="M63" s="61"/>
      <c r="N63" s="61"/>
      <c r="O63" s="61"/>
      <c r="P63" s="61"/>
    </row>
    <row r="64" spans="2:16" ht="18">
      <c r="B64" s="63">
        <v>2</v>
      </c>
      <c r="C64" s="63" t="s">
        <v>1</v>
      </c>
      <c r="D64" s="61" t="s">
        <v>126</v>
      </c>
      <c r="E64" s="61" t="s">
        <v>115</v>
      </c>
      <c r="F64" s="61">
        <v>40</v>
      </c>
      <c r="G64" s="61">
        <v>130</v>
      </c>
      <c r="H64" s="61">
        <v>75</v>
      </c>
      <c r="I64" s="61">
        <v>250</v>
      </c>
      <c r="J64" s="61">
        <v>50</v>
      </c>
      <c r="K64" s="61">
        <v>85</v>
      </c>
      <c r="L64" s="61">
        <v>499</v>
      </c>
      <c r="M64" s="61">
        <v>393</v>
      </c>
      <c r="N64" s="61"/>
      <c r="O64" s="61">
        <v>82</v>
      </c>
      <c r="P64" s="61">
        <f>SUM(E64:L64)</f>
        <v>1129</v>
      </c>
    </row>
    <row r="65" spans="2:16" ht="18">
      <c r="B65" s="63">
        <v>3</v>
      </c>
      <c r="C65" s="63" t="s">
        <v>12</v>
      </c>
      <c r="D65" s="61" t="s">
        <v>126</v>
      </c>
      <c r="E65" s="61" t="s">
        <v>115</v>
      </c>
      <c r="F65" s="61">
        <v>40</v>
      </c>
      <c r="G65" s="61">
        <v>130</v>
      </c>
      <c r="H65" s="61">
        <v>75</v>
      </c>
      <c r="I65" s="61"/>
      <c r="J65" s="61">
        <v>50</v>
      </c>
      <c r="K65" s="61">
        <v>85</v>
      </c>
      <c r="L65" s="61">
        <v>499</v>
      </c>
      <c r="M65" s="61">
        <v>393</v>
      </c>
      <c r="N65" s="61"/>
      <c r="O65" s="61">
        <v>82</v>
      </c>
      <c r="P65" s="61">
        <f>SUM(E65:K65)</f>
        <v>380</v>
      </c>
    </row>
    <row r="66" spans="2:16" ht="18">
      <c r="B66" s="63">
        <v>4</v>
      </c>
      <c r="C66" s="63" t="s">
        <v>20</v>
      </c>
      <c r="D66" s="61" t="s">
        <v>126</v>
      </c>
      <c r="E66" s="61" t="s">
        <v>115</v>
      </c>
      <c r="F66" s="61">
        <v>40</v>
      </c>
      <c r="G66" s="61">
        <v>130</v>
      </c>
      <c r="H66" s="61"/>
      <c r="I66" s="61"/>
      <c r="J66" s="61">
        <v>50</v>
      </c>
      <c r="K66" s="61">
        <v>85</v>
      </c>
      <c r="L66" s="61">
        <v>499</v>
      </c>
      <c r="M66" s="61">
        <v>393</v>
      </c>
      <c r="N66" s="61"/>
      <c r="O66" s="61">
        <v>82</v>
      </c>
      <c r="P66" s="61">
        <f>SUM(E66:K66)</f>
        <v>305</v>
      </c>
    </row>
    <row r="67" spans="2:16">
      <c r="B67" s="64"/>
      <c r="C67" s="64"/>
      <c r="D67" s="64"/>
      <c r="E67" s="64"/>
      <c r="F67" s="64"/>
      <c r="G67" s="64"/>
      <c r="H67" s="64"/>
      <c r="I67" s="64"/>
      <c r="J67" s="64"/>
      <c r="K67" s="64" t="s">
        <v>104</v>
      </c>
      <c r="L67" s="64" t="s">
        <v>105</v>
      </c>
      <c r="M67" s="64" t="s">
        <v>104</v>
      </c>
      <c r="N67" s="64" t="s">
        <v>105</v>
      </c>
      <c r="O67" s="64"/>
      <c r="P67" s="64"/>
    </row>
    <row r="68" spans="2:16" ht="18">
      <c r="B68" s="63">
        <v>5</v>
      </c>
      <c r="C68" s="63" t="s">
        <v>84</v>
      </c>
      <c r="D68" s="61" t="s">
        <v>126</v>
      </c>
      <c r="E68" s="61" t="s">
        <v>116</v>
      </c>
      <c r="F68" s="61"/>
      <c r="G68" s="61"/>
      <c r="H68" s="61"/>
      <c r="I68" s="61"/>
      <c r="J68" s="61"/>
      <c r="K68" s="61"/>
      <c r="L68" s="61"/>
      <c r="M68" s="61"/>
      <c r="N68" s="61"/>
      <c r="O68" s="61"/>
      <c r="P68" s="61"/>
    </row>
    <row r="69" spans="2:16" ht="18">
      <c r="B69" s="63">
        <v>6</v>
      </c>
      <c r="C69" s="63" t="s">
        <v>1</v>
      </c>
      <c r="D69" s="61" t="s">
        <v>126</v>
      </c>
      <c r="E69" s="61" t="s">
        <v>116</v>
      </c>
      <c r="F69" s="61">
        <v>40</v>
      </c>
      <c r="G69" s="61">
        <v>130</v>
      </c>
      <c r="H69" s="61">
        <v>75</v>
      </c>
      <c r="I69" s="61">
        <v>250</v>
      </c>
      <c r="J69" s="61">
        <v>50</v>
      </c>
      <c r="K69" s="61">
        <v>85</v>
      </c>
      <c r="L69" s="61">
        <v>499</v>
      </c>
      <c r="M69" s="61">
        <v>197</v>
      </c>
      <c r="N69" s="61"/>
      <c r="O69" s="61">
        <v>82</v>
      </c>
      <c r="P69" s="61">
        <f>SUM(E69:L69)</f>
        <v>1129</v>
      </c>
    </row>
    <row r="70" spans="2:16" ht="18">
      <c r="B70" s="63">
        <v>7</v>
      </c>
      <c r="C70" s="63" t="s">
        <v>12</v>
      </c>
      <c r="D70" s="61" t="s">
        <v>126</v>
      </c>
      <c r="E70" s="61" t="s">
        <v>116</v>
      </c>
      <c r="F70" s="61">
        <v>40</v>
      </c>
      <c r="G70" s="61">
        <v>130</v>
      </c>
      <c r="H70" s="61">
        <v>75</v>
      </c>
      <c r="I70" s="61"/>
      <c r="J70" s="61">
        <v>50</v>
      </c>
      <c r="K70" s="61">
        <v>85</v>
      </c>
      <c r="L70" s="61">
        <v>499</v>
      </c>
      <c r="M70" s="61">
        <v>197</v>
      </c>
      <c r="N70" s="61"/>
      <c r="O70" s="61">
        <v>82</v>
      </c>
      <c r="P70" s="61">
        <f>SUM(E70:K70)</f>
        <v>380</v>
      </c>
    </row>
    <row r="71" spans="2:16" ht="18">
      <c r="B71" s="63">
        <v>8</v>
      </c>
      <c r="C71" s="63" t="s">
        <v>20</v>
      </c>
      <c r="D71" s="61" t="s">
        <v>126</v>
      </c>
      <c r="E71" s="61" t="s">
        <v>116</v>
      </c>
      <c r="F71" s="61">
        <v>40</v>
      </c>
      <c r="G71" s="61">
        <v>130</v>
      </c>
      <c r="H71" s="61"/>
      <c r="I71" s="61"/>
      <c r="J71" s="61">
        <v>50</v>
      </c>
      <c r="K71" s="61">
        <v>85</v>
      </c>
      <c r="L71" s="61">
        <v>499</v>
      </c>
      <c r="M71" s="61">
        <v>197</v>
      </c>
      <c r="N71" s="61"/>
      <c r="O71" s="61">
        <v>82</v>
      </c>
      <c r="P71" s="61">
        <f>SUM(E71:K71)</f>
        <v>305</v>
      </c>
    </row>
    <row r="72" spans="2:16">
      <c r="B72" s="64"/>
      <c r="C72" s="64"/>
      <c r="D72" s="64"/>
      <c r="E72" s="64"/>
      <c r="F72" s="64"/>
      <c r="G72" s="64"/>
      <c r="H72" s="64"/>
      <c r="I72" s="64"/>
      <c r="J72" s="64"/>
      <c r="K72" s="64" t="s">
        <v>104</v>
      </c>
      <c r="L72" s="64" t="s">
        <v>105</v>
      </c>
      <c r="M72" s="64" t="s">
        <v>104</v>
      </c>
      <c r="N72" s="64" t="s">
        <v>105</v>
      </c>
      <c r="O72" s="64"/>
      <c r="P72" s="64"/>
    </row>
    <row r="73" spans="2:16" ht="18">
      <c r="B73" s="63">
        <v>9</v>
      </c>
      <c r="C73" s="63" t="s">
        <v>84</v>
      </c>
      <c r="D73" s="61" t="s">
        <v>126</v>
      </c>
      <c r="E73" s="61" t="s">
        <v>117</v>
      </c>
      <c r="F73" s="61"/>
      <c r="G73" s="61"/>
      <c r="H73" s="61"/>
      <c r="I73" s="61"/>
      <c r="J73" s="61"/>
      <c r="K73" s="61"/>
      <c r="L73" s="61"/>
      <c r="M73" s="61"/>
      <c r="N73" s="61"/>
      <c r="O73" s="61"/>
      <c r="P73" s="61"/>
    </row>
    <row r="74" spans="2:16" ht="18">
      <c r="B74" s="63">
        <v>10</v>
      </c>
      <c r="C74" s="63" t="s">
        <v>1</v>
      </c>
      <c r="D74" s="61" t="s">
        <v>126</v>
      </c>
      <c r="E74" s="61" t="s">
        <v>117</v>
      </c>
      <c r="F74" s="61">
        <v>40</v>
      </c>
      <c r="G74" s="61">
        <v>130</v>
      </c>
      <c r="H74" s="61">
        <v>75</v>
      </c>
      <c r="I74" s="61">
        <v>250</v>
      </c>
      <c r="J74" s="61">
        <v>50</v>
      </c>
      <c r="K74" s="61">
        <v>85</v>
      </c>
      <c r="L74" s="61">
        <v>499</v>
      </c>
      <c r="M74" s="61">
        <v>0</v>
      </c>
      <c r="N74" s="61"/>
      <c r="O74" s="61">
        <v>82</v>
      </c>
      <c r="P74" s="61">
        <f>SUM(E74:L74)</f>
        <v>1129</v>
      </c>
    </row>
    <row r="75" spans="2:16" ht="18">
      <c r="B75" s="63">
        <v>11</v>
      </c>
      <c r="C75" s="63" t="s">
        <v>12</v>
      </c>
      <c r="D75" s="61" t="s">
        <v>126</v>
      </c>
      <c r="E75" s="61" t="s">
        <v>117</v>
      </c>
      <c r="F75" s="61">
        <v>40</v>
      </c>
      <c r="G75" s="61">
        <v>130</v>
      </c>
      <c r="H75" s="61">
        <v>75</v>
      </c>
      <c r="I75" s="61"/>
      <c r="J75" s="61">
        <v>50</v>
      </c>
      <c r="K75" s="61">
        <v>85</v>
      </c>
      <c r="L75" s="61">
        <v>499</v>
      </c>
      <c r="M75" s="61">
        <v>0</v>
      </c>
      <c r="N75" s="61"/>
      <c r="O75" s="61">
        <v>82</v>
      </c>
      <c r="P75" s="61">
        <f>SUM(E75:K75)</f>
        <v>380</v>
      </c>
    </row>
    <row r="76" spans="2:16" ht="18">
      <c r="B76" s="63">
        <v>12</v>
      </c>
      <c r="C76" s="63" t="s">
        <v>20</v>
      </c>
      <c r="D76" s="61" t="s">
        <v>126</v>
      </c>
      <c r="E76" s="61" t="s">
        <v>117</v>
      </c>
      <c r="F76" s="61">
        <v>40</v>
      </c>
      <c r="G76" s="61">
        <v>130</v>
      </c>
      <c r="H76" s="61"/>
      <c r="I76" s="61"/>
      <c r="J76" s="61">
        <v>50</v>
      </c>
      <c r="K76" s="61">
        <v>85</v>
      </c>
      <c r="L76" s="61">
        <v>499</v>
      </c>
      <c r="M76" s="61">
        <v>0</v>
      </c>
      <c r="N76" s="61"/>
      <c r="O76" s="61">
        <v>82</v>
      </c>
      <c r="P76" s="61">
        <f>SUM(E76:K76)</f>
        <v>305</v>
      </c>
    </row>
    <row r="77" spans="2:16">
      <c r="B77" s="64"/>
      <c r="C77" s="64"/>
      <c r="D77" s="64"/>
      <c r="E77" s="64"/>
      <c r="F77" s="64"/>
      <c r="G77" s="64"/>
      <c r="H77" s="64"/>
      <c r="I77" s="64"/>
      <c r="J77" s="64"/>
      <c r="K77" s="64"/>
      <c r="L77" s="64"/>
      <c r="M77" s="64"/>
      <c r="N77" s="64"/>
      <c r="O77" s="64"/>
      <c r="P77" s="64"/>
    </row>
    <row r="78" spans="2:16" ht="18">
      <c r="B78" s="63">
        <v>1</v>
      </c>
      <c r="C78" s="63" t="s">
        <v>84</v>
      </c>
      <c r="D78" s="61" t="s">
        <v>127</v>
      </c>
      <c r="E78" s="61" t="s">
        <v>115</v>
      </c>
      <c r="F78" s="61"/>
      <c r="G78" s="61"/>
      <c r="H78" s="61"/>
      <c r="I78" s="61"/>
      <c r="J78" s="61"/>
      <c r="K78" s="61"/>
      <c r="L78" s="61"/>
      <c r="M78" s="61"/>
      <c r="N78" s="61"/>
      <c r="O78" s="61"/>
      <c r="P78" s="61"/>
    </row>
    <row r="79" spans="2:16" ht="18">
      <c r="B79" s="63">
        <v>2</v>
      </c>
      <c r="C79" s="63" t="s">
        <v>1</v>
      </c>
      <c r="D79" s="61" t="s">
        <v>127</v>
      </c>
      <c r="E79" s="61" t="s">
        <v>115</v>
      </c>
      <c r="F79" s="61">
        <v>40</v>
      </c>
      <c r="G79" s="61">
        <v>175</v>
      </c>
      <c r="H79" s="61">
        <v>75</v>
      </c>
      <c r="I79" s="61">
        <v>250</v>
      </c>
      <c r="J79" s="61">
        <v>50</v>
      </c>
      <c r="K79" s="61">
        <v>112</v>
      </c>
      <c r="L79" s="61">
        <v>355</v>
      </c>
      <c r="M79" s="61">
        <v>393</v>
      </c>
      <c r="N79" s="61"/>
      <c r="O79" s="61">
        <v>51</v>
      </c>
      <c r="P79" s="61">
        <f>SUM(E79:L79)</f>
        <v>1057</v>
      </c>
    </row>
    <row r="80" spans="2:16" ht="18">
      <c r="B80" s="63">
        <v>3</v>
      </c>
      <c r="C80" s="63" t="s">
        <v>12</v>
      </c>
      <c r="D80" s="61" t="s">
        <v>127</v>
      </c>
      <c r="E80" s="61" t="s">
        <v>115</v>
      </c>
      <c r="F80" s="61">
        <v>40</v>
      </c>
      <c r="G80" s="61">
        <v>175</v>
      </c>
      <c r="H80" s="61">
        <v>75</v>
      </c>
      <c r="I80" s="61"/>
      <c r="J80" s="61">
        <v>50</v>
      </c>
      <c r="K80" s="61">
        <v>112</v>
      </c>
      <c r="L80" s="61">
        <v>355</v>
      </c>
      <c r="M80" s="61">
        <v>393</v>
      </c>
      <c r="N80" s="61"/>
      <c r="O80" s="61">
        <v>51</v>
      </c>
      <c r="P80" s="61">
        <f>SUM(E80:K80)</f>
        <v>452</v>
      </c>
    </row>
    <row r="81" spans="2:16" ht="18">
      <c r="B81" s="63">
        <v>4</v>
      </c>
      <c r="C81" s="63" t="s">
        <v>20</v>
      </c>
      <c r="D81" s="61" t="s">
        <v>127</v>
      </c>
      <c r="E81" s="61" t="s">
        <v>115</v>
      </c>
      <c r="F81" s="61">
        <v>40</v>
      </c>
      <c r="G81" s="61">
        <v>175</v>
      </c>
      <c r="H81" s="61"/>
      <c r="I81" s="61"/>
      <c r="J81" s="61">
        <v>50</v>
      </c>
      <c r="K81" s="61">
        <v>112</v>
      </c>
      <c r="L81" s="61">
        <v>355</v>
      </c>
      <c r="M81" s="61">
        <v>393</v>
      </c>
      <c r="N81" s="61"/>
      <c r="O81" s="61">
        <v>51</v>
      </c>
      <c r="P81" s="61">
        <f>SUM(E81:K81)</f>
        <v>377</v>
      </c>
    </row>
    <row r="82" spans="2:16">
      <c r="B82" s="64"/>
      <c r="C82" s="64"/>
      <c r="D82" s="64"/>
      <c r="E82" s="64"/>
      <c r="F82" s="64"/>
      <c r="G82" s="64"/>
      <c r="H82" s="64"/>
      <c r="I82" s="64"/>
      <c r="J82" s="64"/>
      <c r="K82" s="64" t="s">
        <v>104</v>
      </c>
      <c r="L82" s="64" t="s">
        <v>105</v>
      </c>
      <c r="M82" s="64" t="s">
        <v>104</v>
      </c>
      <c r="N82" s="64" t="s">
        <v>105</v>
      </c>
      <c r="O82" s="64"/>
      <c r="P82" s="64"/>
    </row>
    <row r="83" spans="2:16" ht="18">
      <c r="B83" s="63">
        <v>5</v>
      </c>
      <c r="C83" s="63" t="s">
        <v>84</v>
      </c>
      <c r="D83" s="61" t="s">
        <v>127</v>
      </c>
      <c r="E83" s="61" t="s">
        <v>116</v>
      </c>
      <c r="F83" s="61"/>
      <c r="G83" s="61"/>
      <c r="H83" s="61"/>
      <c r="I83" s="61"/>
      <c r="J83" s="61"/>
      <c r="K83" s="61"/>
      <c r="L83" s="61"/>
      <c r="M83" s="61"/>
      <c r="N83" s="61"/>
      <c r="O83" s="61"/>
      <c r="P83" s="61"/>
    </row>
    <row r="84" spans="2:16" ht="18">
      <c r="B84" s="63">
        <v>6</v>
      </c>
      <c r="C84" s="63" t="s">
        <v>1</v>
      </c>
      <c r="D84" s="61" t="s">
        <v>127</v>
      </c>
      <c r="E84" s="61" t="s">
        <v>116</v>
      </c>
      <c r="F84" s="61">
        <v>40</v>
      </c>
      <c r="G84" s="61">
        <v>175</v>
      </c>
      <c r="H84" s="61">
        <v>75</v>
      </c>
      <c r="I84" s="61">
        <v>250</v>
      </c>
      <c r="J84" s="61">
        <v>50</v>
      </c>
      <c r="K84" s="61">
        <v>112</v>
      </c>
      <c r="L84" s="61">
        <v>355</v>
      </c>
      <c r="M84" s="61">
        <v>197</v>
      </c>
      <c r="N84" s="61"/>
      <c r="O84" s="61">
        <v>51</v>
      </c>
      <c r="P84" s="61">
        <f>SUM(E84:L84)</f>
        <v>1057</v>
      </c>
    </row>
    <row r="85" spans="2:16" ht="18">
      <c r="B85" s="63">
        <v>7</v>
      </c>
      <c r="C85" s="63" t="s">
        <v>12</v>
      </c>
      <c r="D85" s="61" t="s">
        <v>127</v>
      </c>
      <c r="E85" s="61" t="s">
        <v>116</v>
      </c>
      <c r="F85" s="61">
        <v>40</v>
      </c>
      <c r="G85" s="61">
        <v>175</v>
      </c>
      <c r="H85" s="61">
        <v>75</v>
      </c>
      <c r="I85" s="61"/>
      <c r="J85" s="61">
        <v>50</v>
      </c>
      <c r="K85" s="61">
        <v>112</v>
      </c>
      <c r="L85" s="61">
        <v>355</v>
      </c>
      <c r="M85" s="61">
        <v>197</v>
      </c>
      <c r="N85" s="61"/>
      <c r="O85" s="61">
        <v>51</v>
      </c>
      <c r="P85" s="61">
        <f>SUM(E85:K85)</f>
        <v>452</v>
      </c>
    </row>
    <row r="86" spans="2:16" ht="18">
      <c r="B86" s="63">
        <v>8</v>
      </c>
      <c r="C86" s="63" t="s">
        <v>20</v>
      </c>
      <c r="D86" s="61" t="s">
        <v>126</v>
      </c>
      <c r="E86" s="61" t="s">
        <v>116</v>
      </c>
      <c r="F86" s="61">
        <v>40</v>
      </c>
      <c r="G86" s="61">
        <v>175</v>
      </c>
      <c r="H86" s="61"/>
      <c r="I86" s="61"/>
      <c r="J86" s="61">
        <v>50</v>
      </c>
      <c r="K86" s="61">
        <v>112</v>
      </c>
      <c r="L86" s="61">
        <v>355</v>
      </c>
      <c r="M86" s="61">
        <v>197</v>
      </c>
      <c r="N86" s="61"/>
      <c r="O86" s="61">
        <v>51</v>
      </c>
      <c r="P86" s="61">
        <f>SUM(E86:K86)</f>
        <v>377</v>
      </c>
    </row>
    <row r="87" spans="2:16">
      <c r="B87" s="64"/>
      <c r="C87" s="64"/>
      <c r="D87" s="64"/>
      <c r="E87" s="64"/>
      <c r="F87" s="64"/>
      <c r="G87" s="64"/>
      <c r="H87" s="64"/>
      <c r="I87" s="64"/>
      <c r="J87" s="64"/>
      <c r="K87" s="64" t="s">
        <v>104</v>
      </c>
      <c r="L87" s="64" t="s">
        <v>105</v>
      </c>
      <c r="M87" s="64" t="s">
        <v>104</v>
      </c>
      <c r="N87" s="64" t="s">
        <v>105</v>
      </c>
      <c r="O87" s="64"/>
      <c r="P87" s="64"/>
    </row>
    <row r="88" spans="2:16" ht="18">
      <c r="B88" s="63">
        <v>9</v>
      </c>
      <c r="C88" s="63" t="s">
        <v>84</v>
      </c>
      <c r="D88" s="61" t="s">
        <v>127</v>
      </c>
      <c r="E88" s="61" t="s">
        <v>117</v>
      </c>
      <c r="F88" s="61"/>
      <c r="G88" s="61"/>
      <c r="H88" s="61"/>
      <c r="I88" s="61"/>
      <c r="J88" s="61"/>
      <c r="K88" s="61"/>
      <c r="L88" s="61"/>
      <c r="M88" s="61"/>
      <c r="N88" s="61"/>
      <c r="O88" s="61"/>
      <c r="P88" s="61"/>
    </row>
    <row r="89" spans="2:16" ht="18">
      <c r="B89" s="63">
        <v>10</v>
      </c>
      <c r="C89" s="63" t="s">
        <v>1</v>
      </c>
      <c r="D89" s="61" t="s">
        <v>127</v>
      </c>
      <c r="E89" s="61" t="s">
        <v>117</v>
      </c>
      <c r="F89" s="61">
        <v>40</v>
      </c>
      <c r="G89" s="61">
        <v>175</v>
      </c>
      <c r="H89" s="61">
        <v>75</v>
      </c>
      <c r="I89" s="61">
        <v>250</v>
      </c>
      <c r="J89" s="61">
        <v>50</v>
      </c>
      <c r="K89" s="61">
        <v>112</v>
      </c>
      <c r="L89" s="61">
        <v>355</v>
      </c>
      <c r="M89" s="61">
        <v>0</v>
      </c>
      <c r="N89" s="61"/>
      <c r="O89" s="61">
        <v>51</v>
      </c>
      <c r="P89" s="61">
        <f>SUM(E89:L89)</f>
        <v>1057</v>
      </c>
    </row>
    <row r="90" spans="2:16" ht="18">
      <c r="B90" s="63">
        <v>11</v>
      </c>
      <c r="C90" s="63" t="s">
        <v>12</v>
      </c>
      <c r="D90" s="61" t="s">
        <v>127</v>
      </c>
      <c r="E90" s="61" t="s">
        <v>117</v>
      </c>
      <c r="F90" s="61">
        <v>40</v>
      </c>
      <c r="G90" s="61">
        <v>175</v>
      </c>
      <c r="H90" s="61">
        <v>75</v>
      </c>
      <c r="I90" s="61"/>
      <c r="J90" s="61">
        <v>50</v>
      </c>
      <c r="K90" s="61">
        <v>112</v>
      </c>
      <c r="L90" s="61">
        <v>355</v>
      </c>
      <c r="M90" s="61">
        <v>0</v>
      </c>
      <c r="N90" s="61"/>
      <c r="O90" s="61">
        <v>51</v>
      </c>
      <c r="P90" s="61">
        <f>SUM(E90:K90)</f>
        <v>452</v>
      </c>
    </row>
    <row r="91" spans="2:16" ht="18">
      <c r="B91" s="63">
        <v>12</v>
      </c>
      <c r="C91" s="63" t="s">
        <v>20</v>
      </c>
      <c r="D91" s="61" t="s">
        <v>127</v>
      </c>
      <c r="E91" s="61" t="s">
        <v>117</v>
      </c>
      <c r="F91" s="61">
        <v>40</v>
      </c>
      <c r="G91" s="61">
        <v>175</v>
      </c>
      <c r="H91" s="61"/>
      <c r="I91" s="61"/>
      <c r="J91" s="61">
        <v>50</v>
      </c>
      <c r="K91" s="61">
        <v>112</v>
      </c>
      <c r="L91" s="61">
        <v>355</v>
      </c>
      <c r="M91" s="61">
        <v>0</v>
      </c>
      <c r="N91" s="61"/>
      <c r="O91" s="61">
        <v>51</v>
      </c>
      <c r="P91" s="61">
        <f>SUM(E91:K91)</f>
        <v>377</v>
      </c>
    </row>
    <row r="92" spans="2:16">
      <c r="B92" s="64"/>
      <c r="C92" s="64"/>
      <c r="D92" s="64"/>
      <c r="E92" s="64"/>
      <c r="F92" s="64"/>
      <c r="G92" s="64"/>
      <c r="H92" s="64"/>
      <c r="I92" s="64"/>
      <c r="J92" s="64"/>
      <c r="K92" s="64"/>
      <c r="L92" s="64"/>
      <c r="M92" s="64"/>
      <c r="N92" s="64"/>
      <c r="O92" s="64"/>
      <c r="P92" s="64"/>
    </row>
    <row r="93" spans="2:16" ht="18">
      <c r="B93" s="63">
        <v>1</v>
      </c>
      <c r="C93" s="63" t="s">
        <v>84</v>
      </c>
      <c r="D93" s="61" t="s">
        <v>128</v>
      </c>
      <c r="E93" s="61" t="s">
        <v>115</v>
      </c>
      <c r="F93" s="61"/>
      <c r="G93" s="61"/>
      <c r="H93" s="61"/>
      <c r="I93" s="61"/>
      <c r="J93" s="61"/>
      <c r="K93" s="61"/>
      <c r="L93" s="61"/>
      <c r="M93" s="61"/>
      <c r="N93" s="61"/>
      <c r="O93" s="61"/>
      <c r="P93" s="61"/>
    </row>
    <row r="94" spans="2:16" ht="18">
      <c r="B94" s="63">
        <v>2</v>
      </c>
      <c r="C94" s="63" t="s">
        <v>1</v>
      </c>
      <c r="D94" s="61" t="s">
        <v>128</v>
      </c>
      <c r="E94" s="61" t="s">
        <v>115</v>
      </c>
      <c r="F94" s="61">
        <v>40</v>
      </c>
      <c r="G94" s="61">
        <v>175</v>
      </c>
      <c r="H94" s="61">
        <v>75</v>
      </c>
      <c r="I94" s="61">
        <v>250</v>
      </c>
      <c r="J94" s="61">
        <v>50</v>
      </c>
      <c r="K94" s="61">
        <v>112</v>
      </c>
      <c r="L94" s="61">
        <v>355</v>
      </c>
      <c r="M94" s="61">
        <v>393</v>
      </c>
      <c r="N94" s="61"/>
      <c r="O94" s="61">
        <v>51</v>
      </c>
      <c r="P94" s="61">
        <f>SUM(E94:L94)</f>
        <v>1057</v>
      </c>
    </row>
    <row r="95" spans="2:16" ht="18">
      <c r="B95" s="63">
        <v>3</v>
      </c>
      <c r="C95" s="63" t="s">
        <v>12</v>
      </c>
      <c r="D95" s="61" t="s">
        <v>128</v>
      </c>
      <c r="E95" s="61" t="s">
        <v>115</v>
      </c>
      <c r="F95" s="61">
        <v>40</v>
      </c>
      <c r="G95" s="61">
        <v>175</v>
      </c>
      <c r="H95" s="61">
        <v>75</v>
      </c>
      <c r="I95" s="61"/>
      <c r="J95" s="61">
        <v>50</v>
      </c>
      <c r="K95" s="61">
        <v>112</v>
      </c>
      <c r="L95" s="61">
        <v>355</v>
      </c>
      <c r="M95" s="61">
        <v>393</v>
      </c>
      <c r="N95" s="61"/>
      <c r="O95" s="61">
        <v>51</v>
      </c>
      <c r="P95" s="61">
        <f>SUM(E95:K95)</f>
        <v>452</v>
      </c>
    </row>
    <row r="96" spans="2:16" ht="18">
      <c r="B96" s="63">
        <v>4</v>
      </c>
      <c r="C96" s="63" t="s">
        <v>20</v>
      </c>
      <c r="D96" s="61" t="s">
        <v>128</v>
      </c>
      <c r="E96" s="61" t="s">
        <v>115</v>
      </c>
      <c r="F96" s="61">
        <v>40</v>
      </c>
      <c r="G96" s="61">
        <v>175</v>
      </c>
      <c r="H96" s="61"/>
      <c r="I96" s="61"/>
      <c r="J96" s="61">
        <v>50</v>
      </c>
      <c r="K96" s="61">
        <v>112</v>
      </c>
      <c r="L96" s="61">
        <v>355</v>
      </c>
      <c r="M96" s="61">
        <v>393</v>
      </c>
      <c r="N96" s="61"/>
      <c r="O96" s="61">
        <v>51</v>
      </c>
      <c r="P96" s="61">
        <f>SUM(E96:K96)</f>
        <v>377</v>
      </c>
    </row>
    <row r="97" spans="2:16">
      <c r="B97" s="64"/>
      <c r="C97" s="64"/>
      <c r="D97" s="64"/>
      <c r="E97" s="64"/>
      <c r="F97" s="64"/>
      <c r="G97" s="64"/>
      <c r="H97" s="64"/>
      <c r="I97" s="64"/>
      <c r="J97" s="64"/>
      <c r="K97" s="64" t="s">
        <v>104</v>
      </c>
      <c r="L97" s="64" t="s">
        <v>105</v>
      </c>
      <c r="M97" s="64" t="s">
        <v>104</v>
      </c>
      <c r="N97" s="64" t="s">
        <v>105</v>
      </c>
      <c r="O97" s="64"/>
      <c r="P97" s="64"/>
    </row>
    <row r="98" spans="2:16" ht="18">
      <c r="B98" s="63">
        <v>5</v>
      </c>
      <c r="C98" s="63" t="s">
        <v>84</v>
      </c>
      <c r="D98" s="61" t="s">
        <v>128</v>
      </c>
      <c r="E98" s="61" t="s">
        <v>116</v>
      </c>
      <c r="F98" s="61"/>
      <c r="G98" s="61"/>
      <c r="H98" s="61"/>
      <c r="I98" s="61"/>
      <c r="J98" s="61"/>
      <c r="K98" s="61"/>
      <c r="L98" s="61"/>
      <c r="M98" s="61"/>
      <c r="N98" s="61"/>
      <c r="O98" s="61"/>
      <c r="P98" s="61"/>
    </row>
    <row r="99" spans="2:16" ht="18">
      <c r="B99" s="63">
        <v>6</v>
      </c>
      <c r="C99" s="63" t="s">
        <v>1</v>
      </c>
      <c r="D99" s="61" t="s">
        <v>128</v>
      </c>
      <c r="E99" s="61" t="s">
        <v>116</v>
      </c>
      <c r="F99" s="61">
        <v>40</v>
      </c>
      <c r="G99" s="61">
        <v>175</v>
      </c>
      <c r="H99" s="61">
        <v>75</v>
      </c>
      <c r="I99" s="61">
        <v>250</v>
      </c>
      <c r="J99" s="61">
        <v>50</v>
      </c>
      <c r="K99" s="61">
        <v>112</v>
      </c>
      <c r="L99" s="61">
        <v>355</v>
      </c>
      <c r="M99" s="61">
        <v>197</v>
      </c>
      <c r="N99" s="61"/>
      <c r="O99" s="61">
        <v>51</v>
      </c>
      <c r="P99" s="61">
        <f>SUM(E99:L99)</f>
        <v>1057</v>
      </c>
    </row>
    <row r="100" spans="2:16" ht="18">
      <c r="B100" s="63">
        <v>7</v>
      </c>
      <c r="C100" s="63" t="s">
        <v>12</v>
      </c>
      <c r="D100" s="61" t="s">
        <v>128</v>
      </c>
      <c r="E100" s="61" t="s">
        <v>116</v>
      </c>
      <c r="F100" s="61">
        <v>40</v>
      </c>
      <c r="G100" s="61">
        <v>175</v>
      </c>
      <c r="H100" s="61">
        <v>75</v>
      </c>
      <c r="I100" s="61"/>
      <c r="J100" s="61">
        <v>50</v>
      </c>
      <c r="K100" s="61">
        <v>112</v>
      </c>
      <c r="L100" s="61">
        <v>355</v>
      </c>
      <c r="M100" s="61">
        <v>197</v>
      </c>
      <c r="N100" s="61"/>
      <c r="O100" s="61">
        <v>51</v>
      </c>
      <c r="P100" s="61">
        <f>SUM(E100:K100)</f>
        <v>452</v>
      </c>
    </row>
    <row r="101" spans="2:16" ht="18">
      <c r="B101" s="63">
        <v>8</v>
      </c>
      <c r="C101" s="63" t="s">
        <v>20</v>
      </c>
      <c r="D101" s="61" t="s">
        <v>128</v>
      </c>
      <c r="E101" s="61" t="s">
        <v>116</v>
      </c>
      <c r="F101" s="61">
        <v>40</v>
      </c>
      <c r="G101" s="61">
        <v>175</v>
      </c>
      <c r="H101" s="61"/>
      <c r="I101" s="61"/>
      <c r="J101" s="61">
        <v>50</v>
      </c>
      <c r="K101" s="61">
        <v>112</v>
      </c>
      <c r="L101" s="61">
        <v>355</v>
      </c>
      <c r="M101" s="61">
        <v>197</v>
      </c>
      <c r="N101" s="61"/>
      <c r="O101" s="61">
        <v>51</v>
      </c>
      <c r="P101" s="61">
        <f>SUM(E101:K101)</f>
        <v>377</v>
      </c>
    </row>
    <row r="102" spans="2:16">
      <c r="B102" s="64"/>
      <c r="C102" s="64"/>
      <c r="D102" s="64"/>
      <c r="E102" s="64"/>
      <c r="F102" s="64"/>
      <c r="G102" s="64"/>
      <c r="H102" s="64"/>
      <c r="I102" s="64"/>
      <c r="J102" s="64"/>
      <c r="K102" s="64" t="s">
        <v>104</v>
      </c>
      <c r="L102" s="64" t="s">
        <v>105</v>
      </c>
      <c r="M102" s="64" t="s">
        <v>104</v>
      </c>
      <c r="N102" s="64" t="s">
        <v>105</v>
      </c>
      <c r="O102" s="64"/>
      <c r="P102" s="64"/>
    </row>
    <row r="103" spans="2:16" ht="18">
      <c r="B103" s="63">
        <v>9</v>
      </c>
      <c r="C103" s="63" t="s">
        <v>84</v>
      </c>
      <c r="D103" s="61" t="s">
        <v>128</v>
      </c>
      <c r="E103" s="61" t="s">
        <v>117</v>
      </c>
      <c r="F103" s="61"/>
      <c r="G103" s="61"/>
      <c r="H103" s="61"/>
      <c r="I103" s="61"/>
      <c r="J103" s="61"/>
      <c r="K103" s="61"/>
      <c r="L103" s="61"/>
      <c r="M103" s="61"/>
      <c r="N103" s="61"/>
      <c r="O103" s="61"/>
      <c r="P103" s="61"/>
    </row>
    <row r="104" spans="2:16" ht="18">
      <c r="B104" s="63">
        <v>10</v>
      </c>
      <c r="C104" s="63" t="s">
        <v>1</v>
      </c>
      <c r="D104" s="61" t="s">
        <v>128</v>
      </c>
      <c r="E104" s="61" t="s">
        <v>117</v>
      </c>
      <c r="F104" s="61">
        <v>40</v>
      </c>
      <c r="G104" s="61">
        <v>175</v>
      </c>
      <c r="H104" s="61">
        <v>75</v>
      </c>
      <c r="I104" s="61">
        <v>250</v>
      </c>
      <c r="J104" s="61">
        <v>50</v>
      </c>
      <c r="K104" s="61">
        <v>112</v>
      </c>
      <c r="L104" s="61">
        <v>355</v>
      </c>
      <c r="M104" s="61">
        <v>0</v>
      </c>
      <c r="N104" s="61"/>
      <c r="O104" s="61">
        <v>51</v>
      </c>
      <c r="P104" s="61">
        <f>SUM(E104:L104)</f>
        <v>1057</v>
      </c>
    </row>
    <row r="105" spans="2:16" ht="18">
      <c r="B105" s="63">
        <v>11</v>
      </c>
      <c r="C105" s="63" t="s">
        <v>12</v>
      </c>
      <c r="D105" s="61" t="s">
        <v>128</v>
      </c>
      <c r="E105" s="61" t="s">
        <v>117</v>
      </c>
      <c r="F105" s="61">
        <v>40</v>
      </c>
      <c r="G105" s="61">
        <v>175</v>
      </c>
      <c r="H105" s="61">
        <v>75</v>
      </c>
      <c r="I105" s="61"/>
      <c r="J105" s="61">
        <v>50</v>
      </c>
      <c r="K105" s="61">
        <v>112</v>
      </c>
      <c r="L105" s="61">
        <v>355</v>
      </c>
      <c r="M105" s="61">
        <v>0</v>
      </c>
      <c r="N105" s="61"/>
      <c r="O105" s="61">
        <v>51</v>
      </c>
      <c r="P105" s="61">
        <f>SUM(E105:K105)</f>
        <v>452</v>
      </c>
    </row>
    <row r="106" spans="2:16" ht="18">
      <c r="B106" s="63">
        <v>12</v>
      </c>
      <c r="C106" s="63" t="s">
        <v>20</v>
      </c>
      <c r="D106" s="61" t="s">
        <v>128</v>
      </c>
      <c r="E106" s="61" t="s">
        <v>117</v>
      </c>
      <c r="F106" s="61">
        <v>40</v>
      </c>
      <c r="G106" s="61">
        <v>175</v>
      </c>
      <c r="H106" s="61"/>
      <c r="I106" s="61"/>
      <c r="J106" s="61">
        <v>50</v>
      </c>
      <c r="K106" s="61">
        <v>112</v>
      </c>
      <c r="L106" s="61">
        <v>355</v>
      </c>
      <c r="M106" s="61">
        <v>0</v>
      </c>
      <c r="N106" s="61"/>
      <c r="O106" s="61">
        <v>51</v>
      </c>
      <c r="P106" s="61">
        <f>SUM(E106:K106)</f>
        <v>377</v>
      </c>
    </row>
    <row r="107" spans="2:16">
      <c r="B107" s="64"/>
      <c r="C107" s="64"/>
      <c r="D107" s="64"/>
      <c r="E107" s="64"/>
      <c r="F107" s="64"/>
      <c r="G107" s="64"/>
      <c r="H107" s="64"/>
      <c r="I107" s="64"/>
      <c r="J107" s="64"/>
      <c r="K107" s="64"/>
      <c r="L107" s="64"/>
      <c r="M107" s="64"/>
      <c r="N107" s="64"/>
      <c r="O107" s="64"/>
      <c r="P107" s="64"/>
    </row>
    <row r="108" spans="2:16" ht="18">
      <c r="B108" s="63">
        <v>1</v>
      </c>
      <c r="C108" s="63" t="s">
        <v>84</v>
      </c>
      <c r="D108" s="61" t="s">
        <v>129</v>
      </c>
      <c r="E108" s="61" t="s">
        <v>115</v>
      </c>
      <c r="F108" s="61"/>
      <c r="G108" s="61"/>
      <c r="H108" s="61"/>
      <c r="I108" s="61"/>
      <c r="J108" s="61"/>
      <c r="K108" s="61"/>
      <c r="L108" s="61"/>
      <c r="M108" s="61"/>
      <c r="N108" s="61"/>
      <c r="O108" s="61"/>
      <c r="P108" s="61"/>
    </row>
    <row r="109" spans="2:16" ht="18">
      <c r="B109" s="63">
        <v>2</v>
      </c>
      <c r="C109" s="63" t="s">
        <v>1</v>
      </c>
      <c r="D109" s="61" t="s">
        <v>129</v>
      </c>
      <c r="E109" s="61" t="s">
        <v>115</v>
      </c>
      <c r="F109" s="61">
        <v>40</v>
      </c>
      <c r="G109" s="61">
        <v>175</v>
      </c>
      <c r="H109" s="61">
        <v>75</v>
      </c>
      <c r="I109" s="61">
        <v>250</v>
      </c>
      <c r="J109" s="61">
        <v>50</v>
      </c>
      <c r="K109" s="61">
        <v>112</v>
      </c>
      <c r="L109" s="61">
        <v>355</v>
      </c>
      <c r="M109" s="61">
        <v>393</v>
      </c>
      <c r="N109" s="61"/>
      <c r="O109" s="61">
        <v>51</v>
      </c>
      <c r="P109" s="61">
        <f>SUM(E109:L109)</f>
        <v>1057</v>
      </c>
    </row>
    <row r="110" spans="2:16" ht="18">
      <c r="B110" s="63">
        <v>3</v>
      </c>
      <c r="C110" s="63" t="s">
        <v>12</v>
      </c>
      <c r="D110" s="61" t="s">
        <v>129</v>
      </c>
      <c r="E110" s="61" t="s">
        <v>115</v>
      </c>
      <c r="F110" s="61">
        <v>40</v>
      </c>
      <c r="G110" s="61">
        <v>175</v>
      </c>
      <c r="H110" s="61">
        <v>75</v>
      </c>
      <c r="I110" s="61"/>
      <c r="J110" s="61">
        <v>50</v>
      </c>
      <c r="K110" s="61">
        <v>112</v>
      </c>
      <c r="L110" s="61">
        <v>355</v>
      </c>
      <c r="M110" s="61">
        <v>393</v>
      </c>
      <c r="N110" s="61"/>
      <c r="O110" s="61">
        <v>51</v>
      </c>
      <c r="P110" s="61">
        <f>SUM(E110:K110)</f>
        <v>452</v>
      </c>
    </row>
    <row r="111" spans="2:16" ht="18">
      <c r="B111" s="63">
        <v>4</v>
      </c>
      <c r="C111" s="63" t="s">
        <v>20</v>
      </c>
      <c r="D111" s="61" t="s">
        <v>129</v>
      </c>
      <c r="E111" s="61" t="s">
        <v>115</v>
      </c>
      <c r="F111" s="61">
        <v>40</v>
      </c>
      <c r="G111" s="61">
        <v>175</v>
      </c>
      <c r="H111" s="61"/>
      <c r="I111" s="61"/>
      <c r="J111" s="61">
        <v>50</v>
      </c>
      <c r="K111" s="61">
        <v>112</v>
      </c>
      <c r="L111" s="61">
        <v>355</v>
      </c>
      <c r="M111" s="61">
        <v>393</v>
      </c>
      <c r="N111" s="61"/>
      <c r="O111" s="61">
        <v>51</v>
      </c>
      <c r="P111" s="61">
        <f>SUM(E111:K111)</f>
        <v>377</v>
      </c>
    </row>
    <row r="112" spans="2:16">
      <c r="B112" s="64"/>
      <c r="C112" s="64"/>
      <c r="D112" s="64"/>
      <c r="E112" s="64"/>
      <c r="F112" s="64"/>
      <c r="G112" s="64"/>
      <c r="H112" s="64"/>
      <c r="I112" s="64"/>
      <c r="J112" s="64"/>
      <c r="K112" s="64" t="s">
        <v>104</v>
      </c>
      <c r="L112" s="64" t="s">
        <v>105</v>
      </c>
      <c r="M112" s="64" t="s">
        <v>104</v>
      </c>
      <c r="N112" s="64" t="s">
        <v>105</v>
      </c>
      <c r="O112" s="64"/>
      <c r="P112" s="64"/>
    </row>
    <row r="113" spans="2:16" ht="18">
      <c r="B113" s="63">
        <v>5</v>
      </c>
      <c r="C113" s="63" t="s">
        <v>84</v>
      </c>
      <c r="D113" s="61" t="s">
        <v>129</v>
      </c>
      <c r="E113" s="61" t="s">
        <v>116</v>
      </c>
      <c r="F113" s="61"/>
      <c r="G113" s="61"/>
      <c r="H113" s="61"/>
      <c r="I113" s="61"/>
      <c r="J113" s="61"/>
      <c r="K113" s="61"/>
      <c r="L113" s="61"/>
      <c r="M113" s="61"/>
      <c r="N113" s="61"/>
      <c r="O113" s="61"/>
      <c r="P113" s="61"/>
    </row>
    <row r="114" spans="2:16" ht="18">
      <c r="B114" s="63">
        <v>6</v>
      </c>
      <c r="C114" s="63" t="s">
        <v>1</v>
      </c>
      <c r="D114" s="61" t="s">
        <v>129</v>
      </c>
      <c r="E114" s="61" t="s">
        <v>116</v>
      </c>
      <c r="F114" s="61">
        <v>40</v>
      </c>
      <c r="G114" s="61">
        <v>175</v>
      </c>
      <c r="H114" s="61">
        <v>75</v>
      </c>
      <c r="I114" s="61">
        <v>250</v>
      </c>
      <c r="J114" s="61">
        <v>50</v>
      </c>
      <c r="K114" s="61">
        <v>112</v>
      </c>
      <c r="L114" s="61">
        <v>355</v>
      </c>
      <c r="M114" s="61">
        <v>197</v>
      </c>
      <c r="N114" s="61"/>
      <c r="O114" s="61">
        <v>51</v>
      </c>
      <c r="P114" s="61">
        <f>SUM(E114:L114)</f>
        <v>1057</v>
      </c>
    </row>
    <row r="115" spans="2:16" ht="18">
      <c r="B115" s="63">
        <v>7</v>
      </c>
      <c r="C115" s="63" t="s">
        <v>12</v>
      </c>
      <c r="D115" s="61" t="s">
        <v>129</v>
      </c>
      <c r="E115" s="61" t="s">
        <v>116</v>
      </c>
      <c r="F115" s="61">
        <v>40</v>
      </c>
      <c r="G115" s="61">
        <v>175</v>
      </c>
      <c r="H115" s="61">
        <v>75</v>
      </c>
      <c r="I115" s="61"/>
      <c r="J115" s="61">
        <v>50</v>
      </c>
      <c r="K115" s="61">
        <v>112</v>
      </c>
      <c r="L115" s="61">
        <v>355</v>
      </c>
      <c r="M115" s="61">
        <v>197</v>
      </c>
      <c r="N115" s="61"/>
      <c r="O115" s="61">
        <v>51</v>
      </c>
      <c r="P115" s="61">
        <f>SUM(E115:K115)</f>
        <v>452</v>
      </c>
    </row>
    <row r="116" spans="2:16" ht="18">
      <c r="B116" s="63">
        <v>8</v>
      </c>
      <c r="C116" s="63" t="s">
        <v>20</v>
      </c>
      <c r="D116" s="61" t="s">
        <v>129</v>
      </c>
      <c r="E116" s="61" t="s">
        <v>116</v>
      </c>
      <c r="F116" s="61">
        <v>40</v>
      </c>
      <c r="G116" s="61">
        <v>175</v>
      </c>
      <c r="H116" s="61"/>
      <c r="I116" s="61"/>
      <c r="J116" s="61">
        <v>50</v>
      </c>
      <c r="K116" s="61">
        <v>112</v>
      </c>
      <c r="L116" s="61">
        <v>355</v>
      </c>
      <c r="M116" s="61">
        <v>197</v>
      </c>
      <c r="N116" s="61"/>
      <c r="O116" s="61">
        <v>51</v>
      </c>
      <c r="P116" s="61">
        <f>SUM(E116:K116)</f>
        <v>377</v>
      </c>
    </row>
    <row r="117" spans="2:16" ht="18">
      <c r="B117" s="63"/>
      <c r="C117" s="63"/>
      <c r="D117" s="64"/>
      <c r="E117" s="64"/>
      <c r="F117" s="64"/>
      <c r="G117" s="64"/>
      <c r="H117" s="64"/>
      <c r="I117" s="64"/>
      <c r="J117" s="64"/>
      <c r="K117" s="64" t="s">
        <v>104</v>
      </c>
      <c r="L117" s="64" t="s">
        <v>105</v>
      </c>
      <c r="M117" s="64" t="s">
        <v>104</v>
      </c>
      <c r="N117" s="64" t="s">
        <v>105</v>
      </c>
      <c r="O117" s="64"/>
      <c r="P117" s="64"/>
    </row>
    <row r="118" spans="2:16" ht="18">
      <c r="B118" s="63">
        <v>9</v>
      </c>
      <c r="C118" s="63" t="s">
        <v>84</v>
      </c>
      <c r="D118" s="61" t="s">
        <v>129</v>
      </c>
      <c r="E118" s="61" t="s">
        <v>117</v>
      </c>
      <c r="F118" s="61"/>
      <c r="G118" s="61"/>
      <c r="H118" s="61"/>
      <c r="I118" s="61"/>
      <c r="J118" s="61"/>
      <c r="K118" s="61"/>
      <c r="L118" s="61"/>
      <c r="M118" s="61"/>
      <c r="N118" s="61"/>
      <c r="O118" s="61"/>
      <c r="P118" s="61"/>
    </row>
    <row r="119" spans="2:16" ht="18">
      <c r="B119" s="63">
        <v>10</v>
      </c>
      <c r="C119" s="63" t="s">
        <v>1</v>
      </c>
      <c r="D119" s="61" t="s">
        <v>129</v>
      </c>
      <c r="E119" s="61" t="s">
        <v>117</v>
      </c>
      <c r="F119" s="61">
        <v>40</v>
      </c>
      <c r="G119" s="61">
        <v>175</v>
      </c>
      <c r="H119" s="61">
        <v>75</v>
      </c>
      <c r="I119" s="61">
        <v>250</v>
      </c>
      <c r="J119" s="61">
        <v>50</v>
      </c>
      <c r="K119" s="61">
        <v>112</v>
      </c>
      <c r="L119" s="61">
        <v>355</v>
      </c>
      <c r="M119" s="61">
        <v>0</v>
      </c>
      <c r="N119" s="61"/>
      <c r="O119" s="61">
        <v>51</v>
      </c>
      <c r="P119" s="61">
        <f>SUM(E119:L119)</f>
        <v>1057</v>
      </c>
    </row>
    <row r="120" spans="2:16" ht="18">
      <c r="B120" s="63">
        <v>11</v>
      </c>
      <c r="C120" s="63" t="s">
        <v>12</v>
      </c>
      <c r="D120" s="61" t="s">
        <v>129</v>
      </c>
      <c r="E120" s="61" t="s">
        <v>117</v>
      </c>
      <c r="F120" s="61">
        <v>40</v>
      </c>
      <c r="G120" s="61">
        <v>175</v>
      </c>
      <c r="H120" s="61">
        <v>75</v>
      </c>
      <c r="I120" s="61"/>
      <c r="J120" s="61">
        <v>50</v>
      </c>
      <c r="K120" s="61">
        <v>112</v>
      </c>
      <c r="L120" s="61">
        <v>355</v>
      </c>
      <c r="M120" s="61">
        <v>0</v>
      </c>
      <c r="N120" s="61"/>
      <c r="O120" s="61">
        <v>51</v>
      </c>
      <c r="P120" s="61">
        <f>SUM(E120:K120)</f>
        <v>452</v>
      </c>
    </row>
    <row r="121" spans="2:16" ht="18">
      <c r="B121" s="63">
        <v>12</v>
      </c>
      <c r="C121" s="63" t="s">
        <v>20</v>
      </c>
      <c r="D121" s="61" t="s">
        <v>129</v>
      </c>
      <c r="E121" s="61" t="s">
        <v>117</v>
      </c>
      <c r="F121" s="61">
        <v>40</v>
      </c>
      <c r="G121" s="61">
        <v>175</v>
      </c>
      <c r="H121" s="61"/>
      <c r="I121" s="61"/>
      <c r="J121" s="61">
        <v>50</v>
      </c>
      <c r="K121" s="61">
        <v>112</v>
      </c>
      <c r="L121" s="61">
        <v>355</v>
      </c>
      <c r="M121" s="61">
        <v>0</v>
      </c>
      <c r="N121" s="61"/>
      <c r="O121" s="61">
        <v>51</v>
      </c>
      <c r="P121" s="61">
        <f>SUM(E121:K121)</f>
        <v>377</v>
      </c>
    </row>
    <row r="122" spans="2:16" ht="18">
      <c r="B122" s="63"/>
      <c r="C122" s="63"/>
      <c r="D122" s="64"/>
      <c r="E122" s="64"/>
      <c r="F122" s="64"/>
      <c r="G122" s="64"/>
      <c r="H122" s="64"/>
      <c r="I122" s="64"/>
      <c r="J122" s="64"/>
      <c r="K122" s="64"/>
      <c r="L122" s="64"/>
      <c r="M122" s="64"/>
      <c r="N122" s="64"/>
      <c r="O122" s="64"/>
      <c r="P122" s="64"/>
    </row>
    <row r="123" spans="2:16" ht="18">
      <c r="B123" s="63">
        <v>1</v>
      </c>
      <c r="C123" s="63" t="s">
        <v>84</v>
      </c>
      <c r="D123" s="61" t="s">
        <v>130</v>
      </c>
      <c r="E123" s="61" t="s">
        <v>115</v>
      </c>
      <c r="F123" s="61">
        <v>40</v>
      </c>
      <c r="G123" s="61">
        <v>130</v>
      </c>
      <c r="H123" s="61">
        <v>75</v>
      </c>
      <c r="I123" s="61">
        <v>705</v>
      </c>
      <c r="J123" s="61">
        <v>50</v>
      </c>
      <c r="K123" s="61"/>
      <c r="L123" s="61">
        <v>1453.6</v>
      </c>
      <c r="M123" s="61"/>
      <c r="N123" s="61"/>
      <c r="O123" s="61"/>
      <c r="P123" s="61"/>
    </row>
    <row r="124" spans="2:16" ht="18">
      <c r="B124" s="63">
        <v>2</v>
      </c>
      <c r="C124" s="63" t="s">
        <v>1</v>
      </c>
      <c r="D124" s="61" t="s">
        <v>130</v>
      </c>
      <c r="E124" s="61" t="s">
        <v>115</v>
      </c>
      <c r="F124" s="61">
        <v>40</v>
      </c>
      <c r="G124" s="61">
        <v>130</v>
      </c>
      <c r="H124" s="61">
        <v>75</v>
      </c>
      <c r="I124" s="61">
        <v>250</v>
      </c>
      <c r="J124" s="61">
        <v>50</v>
      </c>
      <c r="K124" s="61">
        <v>138</v>
      </c>
      <c r="L124" s="61">
        <v>437</v>
      </c>
      <c r="M124" s="61">
        <v>393</v>
      </c>
      <c r="N124" s="61"/>
      <c r="O124" s="61">
        <v>69</v>
      </c>
      <c r="P124" s="61">
        <f>SUM(E124:L124)</f>
        <v>1120</v>
      </c>
    </row>
    <row r="125" spans="2:16" ht="18">
      <c r="B125" s="63">
        <v>3</v>
      </c>
      <c r="C125" s="63" t="s">
        <v>12</v>
      </c>
      <c r="D125" s="61" t="s">
        <v>130</v>
      </c>
      <c r="E125" s="61" t="s">
        <v>115</v>
      </c>
      <c r="F125" s="61">
        <v>40</v>
      </c>
      <c r="G125" s="61">
        <v>130</v>
      </c>
      <c r="H125" s="61">
        <v>75</v>
      </c>
      <c r="I125" s="61"/>
      <c r="J125" s="61">
        <v>50</v>
      </c>
      <c r="K125" s="61">
        <v>138</v>
      </c>
      <c r="L125" s="61">
        <v>437</v>
      </c>
      <c r="M125" s="61">
        <v>393</v>
      </c>
      <c r="N125" s="61"/>
      <c r="O125" s="61">
        <v>69</v>
      </c>
      <c r="P125" s="61">
        <f>SUM(E125:K125)</f>
        <v>433</v>
      </c>
    </row>
    <row r="126" spans="2:16" ht="18">
      <c r="B126" s="63">
        <v>4</v>
      </c>
      <c r="C126" s="63" t="s">
        <v>20</v>
      </c>
      <c r="D126" s="61" t="s">
        <v>130</v>
      </c>
      <c r="E126" s="61" t="s">
        <v>115</v>
      </c>
      <c r="F126" s="61">
        <v>40</v>
      </c>
      <c r="G126" s="61">
        <v>130</v>
      </c>
      <c r="H126" s="61"/>
      <c r="I126" s="61"/>
      <c r="J126" s="61">
        <v>50</v>
      </c>
      <c r="K126" s="61">
        <v>138</v>
      </c>
      <c r="L126" s="61">
        <v>437</v>
      </c>
      <c r="M126" s="61">
        <v>393</v>
      </c>
      <c r="N126" s="61"/>
      <c r="O126" s="61">
        <v>69</v>
      </c>
      <c r="P126" s="61">
        <f>SUM(E126:K126)</f>
        <v>358</v>
      </c>
    </row>
    <row r="127" spans="2:16" ht="18">
      <c r="B127" s="63"/>
      <c r="C127" s="63"/>
      <c r="D127" s="64"/>
      <c r="E127" s="64"/>
      <c r="F127" s="64"/>
      <c r="G127" s="64"/>
      <c r="H127" s="64"/>
      <c r="I127" s="64"/>
      <c r="J127" s="64"/>
      <c r="K127" s="64" t="s">
        <v>104</v>
      </c>
      <c r="L127" s="64" t="s">
        <v>105</v>
      </c>
      <c r="M127" s="64" t="s">
        <v>104</v>
      </c>
      <c r="N127" s="64" t="s">
        <v>105</v>
      </c>
      <c r="O127" s="64"/>
      <c r="P127" s="64"/>
    </row>
    <row r="128" spans="2:16" ht="18">
      <c r="B128" s="63">
        <v>5</v>
      </c>
      <c r="C128" s="63" t="s">
        <v>84</v>
      </c>
      <c r="D128" s="61" t="s">
        <v>130</v>
      </c>
      <c r="E128" s="61" t="s">
        <v>116</v>
      </c>
      <c r="F128" s="61">
        <v>40</v>
      </c>
      <c r="G128" s="61">
        <v>130</v>
      </c>
      <c r="H128" s="61">
        <v>75</v>
      </c>
      <c r="I128" s="61">
        <v>705</v>
      </c>
      <c r="J128" s="61">
        <v>50</v>
      </c>
      <c r="K128" s="61"/>
      <c r="L128" s="61">
        <v>1453.6</v>
      </c>
      <c r="M128" s="61"/>
      <c r="N128" s="61"/>
      <c r="O128" s="61"/>
      <c r="P128" s="61"/>
    </row>
    <row r="129" spans="2:16" ht="18">
      <c r="B129" s="63">
        <v>6</v>
      </c>
      <c r="C129" s="63" t="s">
        <v>1</v>
      </c>
      <c r="D129" s="61" t="s">
        <v>130</v>
      </c>
      <c r="E129" s="61" t="s">
        <v>116</v>
      </c>
      <c r="F129" s="61">
        <v>40</v>
      </c>
      <c r="G129" s="61">
        <v>130</v>
      </c>
      <c r="H129" s="61">
        <v>75</v>
      </c>
      <c r="I129" s="61">
        <v>250</v>
      </c>
      <c r="J129" s="61">
        <v>50</v>
      </c>
      <c r="K129" s="61">
        <v>138</v>
      </c>
      <c r="L129" s="61">
        <v>437</v>
      </c>
      <c r="M129" s="61">
        <v>197</v>
      </c>
      <c r="N129" s="61"/>
      <c r="O129" s="61">
        <v>69</v>
      </c>
      <c r="P129" s="61">
        <f>SUM(E129:L129)</f>
        <v>1120</v>
      </c>
    </row>
    <row r="130" spans="2:16" ht="18">
      <c r="B130" s="63">
        <v>7</v>
      </c>
      <c r="C130" s="63" t="s">
        <v>12</v>
      </c>
      <c r="D130" s="61" t="s">
        <v>130</v>
      </c>
      <c r="E130" s="61" t="s">
        <v>116</v>
      </c>
      <c r="F130" s="61">
        <v>40</v>
      </c>
      <c r="G130" s="61">
        <v>130</v>
      </c>
      <c r="H130" s="61">
        <v>75</v>
      </c>
      <c r="I130" s="61"/>
      <c r="J130" s="61">
        <v>50</v>
      </c>
      <c r="K130" s="61">
        <v>138</v>
      </c>
      <c r="L130" s="61">
        <v>437</v>
      </c>
      <c r="M130" s="61">
        <v>197</v>
      </c>
      <c r="N130" s="61"/>
      <c r="O130" s="61">
        <v>69</v>
      </c>
      <c r="P130" s="61">
        <f>SUM(E130:K130)</f>
        <v>433</v>
      </c>
    </row>
    <row r="131" spans="2:16" ht="18">
      <c r="B131" s="63">
        <v>8</v>
      </c>
      <c r="C131" s="63" t="s">
        <v>20</v>
      </c>
      <c r="D131" s="61" t="s">
        <v>130</v>
      </c>
      <c r="E131" s="61" t="s">
        <v>116</v>
      </c>
      <c r="F131" s="61">
        <v>40</v>
      </c>
      <c r="G131" s="61">
        <v>130</v>
      </c>
      <c r="H131" s="61"/>
      <c r="I131" s="61"/>
      <c r="J131" s="61">
        <v>50</v>
      </c>
      <c r="K131" s="61">
        <v>138</v>
      </c>
      <c r="L131" s="61">
        <v>437</v>
      </c>
      <c r="M131" s="61">
        <v>197</v>
      </c>
      <c r="N131" s="61"/>
      <c r="O131" s="61">
        <v>69</v>
      </c>
      <c r="P131" s="61">
        <f>SUM(E131:K131)</f>
        <v>358</v>
      </c>
    </row>
    <row r="132" spans="2:16" ht="18">
      <c r="B132" s="63"/>
      <c r="C132" s="63"/>
      <c r="D132" s="64"/>
      <c r="E132" s="64"/>
      <c r="F132" s="64"/>
      <c r="G132" s="64"/>
      <c r="H132" s="64"/>
      <c r="I132" s="64"/>
      <c r="J132" s="64"/>
      <c r="K132" s="64" t="s">
        <v>104</v>
      </c>
      <c r="L132" s="64" t="s">
        <v>105</v>
      </c>
      <c r="M132" s="64" t="s">
        <v>132</v>
      </c>
      <c r="N132" s="64" t="s">
        <v>133</v>
      </c>
      <c r="O132" s="64"/>
      <c r="P132" s="64"/>
    </row>
    <row r="133" spans="2:16" ht="18">
      <c r="B133" s="63">
        <v>9</v>
      </c>
      <c r="C133" s="63" t="s">
        <v>84</v>
      </c>
      <c r="D133" s="61" t="s">
        <v>130</v>
      </c>
      <c r="E133" s="61" t="s">
        <v>117</v>
      </c>
      <c r="F133" s="61">
        <v>40</v>
      </c>
      <c r="G133" s="61">
        <v>130</v>
      </c>
      <c r="H133" s="61">
        <v>75</v>
      </c>
      <c r="I133" s="61">
        <v>705</v>
      </c>
      <c r="J133" s="61">
        <v>50</v>
      </c>
      <c r="K133" s="61"/>
      <c r="L133" s="61">
        <v>1453.6</v>
      </c>
      <c r="M133" s="61"/>
      <c r="N133" s="61"/>
      <c r="O133" s="61"/>
      <c r="P133" s="61"/>
    </row>
    <row r="134" spans="2:16" ht="18">
      <c r="B134" s="63">
        <v>10</v>
      </c>
      <c r="C134" s="63" t="s">
        <v>1</v>
      </c>
      <c r="D134" s="61" t="s">
        <v>130</v>
      </c>
      <c r="E134" s="61" t="s">
        <v>117</v>
      </c>
      <c r="F134" s="61">
        <v>40</v>
      </c>
      <c r="G134" s="61">
        <v>130</v>
      </c>
      <c r="H134" s="61">
        <v>75</v>
      </c>
      <c r="I134" s="61">
        <v>250</v>
      </c>
      <c r="J134" s="61">
        <v>50</v>
      </c>
      <c r="K134" s="61">
        <v>138</v>
      </c>
      <c r="L134" s="61">
        <v>437</v>
      </c>
      <c r="M134" s="61">
        <v>0</v>
      </c>
      <c r="N134" s="61"/>
      <c r="O134" s="61">
        <v>69</v>
      </c>
      <c r="P134" s="61">
        <f>SUM(E134:L134)</f>
        <v>1120</v>
      </c>
    </row>
    <row r="135" spans="2:16" ht="18">
      <c r="B135" s="63">
        <v>11</v>
      </c>
      <c r="C135" s="63" t="s">
        <v>12</v>
      </c>
      <c r="D135" s="61" t="s">
        <v>130</v>
      </c>
      <c r="E135" s="61" t="s">
        <v>117</v>
      </c>
      <c r="F135" s="61">
        <v>40</v>
      </c>
      <c r="G135" s="61">
        <v>130</v>
      </c>
      <c r="H135" s="61">
        <v>75</v>
      </c>
      <c r="I135" s="61"/>
      <c r="J135" s="61">
        <v>50</v>
      </c>
      <c r="K135" s="61">
        <v>138</v>
      </c>
      <c r="L135" s="61">
        <v>437</v>
      </c>
      <c r="M135" s="61">
        <v>0</v>
      </c>
      <c r="N135" s="61"/>
      <c r="O135" s="61">
        <v>69</v>
      </c>
      <c r="P135" s="61">
        <f>SUM(E135:K135)</f>
        <v>433</v>
      </c>
    </row>
    <row r="136" spans="2:16" ht="18">
      <c r="B136" s="63">
        <v>12</v>
      </c>
      <c r="C136" s="63" t="s">
        <v>20</v>
      </c>
      <c r="D136" s="61" t="s">
        <v>130</v>
      </c>
      <c r="E136" s="61" t="s">
        <v>117</v>
      </c>
      <c r="F136" s="61">
        <v>40</v>
      </c>
      <c r="G136" s="61">
        <v>130</v>
      </c>
      <c r="H136" s="61"/>
      <c r="I136" s="61"/>
      <c r="J136" s="61">
        <v>50</v>
      </c>
      <c r="K136" s="61">
        <v>138</v>
      </c>
      <c r="L136" s="61">
        <v>437</v>
      </c>
      <c r="M136" s="61">
        <v>0</v>
      </c>
      <c r="N136" s="61"/>
      <c r="O136" s="61">
        <v>69</v>
      </c>
      <c r="P136" s="61">
        <f>SUM(E136:K136)</f>
        <v>358</v>
      </c>
    </row>
    <row r="137" spans="2:16" ht="18">
      <c r="B137" s="63"/>
      <c r="C137" s="63"/>
      <c r="D137" s="64"/>
      <c r="E137" s="64"/>
      <c r="F137" s="64"/>
      <c r="G137" s="64"/>
      <c r="H137" s="64"/>
      <c r="I137" s="64"/>
      <c r="J137" s="64"/>
      <c r="K137" s="64"/>
      <c r="L137" s="64"/>
      <c r="M137" s="64"/>
      <c r="N137" s="64"/>
      <c r="O137" s="64"/>
      <c r="P137" s="64"/>
    </row>
    <row r="138" spans="2:16" ht="18">
      <c r="B138" s="63">
        <v>1</v>
      </c>
      <c r="C138" s="63" t="s">
        <v>84</v>
      </c>
      <c r="D138" s="61" t="s">
        <v>131</v>
      </c>
      <c r="E138" s="61" t="s">
        <v>115</v>
      </c>
      <c r="F138" s="61">
        <v>40</v>
      </c>
      <c r="G138" s="61">
        <v>130</v>
      </c>
      <c r="H138" s="61">
        <v>75</v>
      </c>
      <c r="I138" s="61">
        <v>705</v>
      </c>
      <c r="J138" s="61">
        <v>50</v>
      </c>
      <c r="K138" s="61"/>
      <c r="L138" s="61">
        <v>1237.74</v>
      </c>
      <c r="M138" s="61"/>
      <c r="N138" s="61"/>
      <c r="O138" s="61"/>
      <c r="P138" s="61"/>
    </row>
    <row r="139" spans="2:16" ht="18">
      <c r="B139" s="63">
        <v>2</v>
      </c>
      <c r="C139" s="63" t="s">
        <v>1</v>
      </c>
      <c r="D139" s="61" t="s">
        <v>131</v>
      </c>
      <c r="E139" s="61" t="s">
        <v>115</v>
      </c>
      <c r="F139" s="61">
        <v>40</v>
      </c>
      <c r="G139" s="61">
        <v>130</v>
      </c>
      <c r="H139" s="61">
        <v>75</v>
      </c>
      <c r="I139" s="61">
        <v>250</v>
      </c>
      <c r="J139" s="61">
        <v>50</v>
      </c>
      <c r="K139" s="61">
        <v>302</v>
      </c>
      <c r="L139" s="61">
        <v>469</v>
      </c>
      <c r="M139" s="61">
        <v>275</v>
      </c>
      <c r="N139" s="61"/>
      <c r="O139" s="61">
        <v>51</v>
      </c>
      <c r="P139" s="61">
        <f>SUM(E139:L139)</f>
        <v>1316</v>
      </c>
    </row>
    <row r="140" spans="2:16" ht="18">
      <c r="B140" s="63">
        <v>3</v>
      </c>
      <c r="C140" s="63" t="s">
        <v>12</v>
      </c>
      <c r="D140" s="61" t="s">
        <v>131</v>
      </c>
      <c r="E140" s="61" t="s">
        <v>115</v>
      </c>
      <c r="F140" s="61">
        <v>40</v>
      </c>
      <c r="G140" s="61">
        <v>130</v>
      </c>
      <c r="H140" s="61">
        <v>75</v>
      </c>
      <c r="I140" s="61"/>
      <c r="J140" s="61">
        <v>50</v>
      </c>
      <c r="K140" s="61">
        <v>302</v>
      </c>
      <c r="L140" s="61">
        <v>469</v>
      </c>
      <c r="M140" s="61">
        <v>275</v>
      </c>
      <c r="N140" s="61"/>
      <c r="O140" s="61">
        <v>51</v>
      </c>
      <c r="P140" s="61">
        <f>SUM(E140:K140)</f>
        <v>597</v>
      </c>
    </row>
    <row r="141" spans="2:16" ht="18">
      <c r="B141" s="63">
        <v>4</v>
      </c>
      <c r="C141" s="63" t="s">
        <v>20</v>
      </c>
      <c r="D141" s="61" t="s">
        <v>131</v>
      </c>
      <c r="E141" s="61" t="s">
        <v>115</v>
      </c>
      <c r="F141" s="61">
        <v>40</v>
      </c>
      <c r="G141" s="61">
        <v>130</v>
      </c>
      <c r="H141" s="61"/>
      <c r="I141" s="61"/>
      <c r="J141" s="61">
        <v>50</v>
      </c>
      <c r="K141" s="61">
        <v>302</v>
      </c>
      <c r="L141" s="61">
        <v>469</v>
      </c>
      <c r="M141" s="61">
        <v>275</v>
      </c>
      <c r="N141" s="61"/>
      <c r="O141" s="61">
        <v>51</v>
      </c>
      <c r="P141" s="61">
        <f>SUM(E141:K141)</f>
        <v>522</v>
      </c>
    </row>
    <row r="142" spans="2:16" ht="18">
      <c r="B142" s="63"/>
      <c r="C142" s="63"/>
      <c r="D142" s="64"/>
      <c r="E142" s="64"/>
      <c r="F142" s="64"/>
      <c r="G142" s="64"/>
      <c r="H142" s="64"/>
      <c r="I142" s="64"/>
      <c r="J142" s="64"/>
      <c r="K142" s="64" t="s">
        <v>104</v>
      </c>
      <c r="L142" s="64" t="s">
        <v>105</v>
      </c>
      <c r="M142" s="64" t="s">
        <v>104</v>
      </c>
      <c r="N142" s="64" t="s">
        <v>105</v>
      </c>
      <c r="O142" s="64"/>
      <c r="P142" s="64"/>
    </row>
    <row r="143" spans="2:16" ht="18">
      <c r="B143" s="63">
        <v>5</v>
      </c>
      <c r="C143" s="63" t="s">
        <v>84</v>
      </c>
      <c r="D143" s="61" t="s">
        <v>131</v>
      </c>
      <c r="E143" s="61" t="s">
        <v>116</v>
      </c>
      <c r="F143" s="61">
        <v>40</v>
      </c>
      <c r="G143" s="61">
        <v>130</v>
      </c>
      <c r="H143" s="61">
        <v>75</v>
      </c>
      <c r="I143" s="61">
        <v>705</v>
      </c>
      <c r="J143" s="61">
        <v>50</v>
      </c>
      <c r="K143" s="61"/>
      <c r="L143" s="61">
        <v>1237.74</v>
      </c>
      <c r="M143" s="61"/>
      <c r="N143" s="61"/>
      <c r="O143" s="61"/>
      <c r="P143" s="61"/>
    </row>
    <row r="144" spans="2:16" ht="18">
      <c r="B144" s="63">
        <v>6</v>
      </c>
      <c r="C144" s="63" t="s">
        <v>1</v>
      </c>
      <c r="D144" s="61" t="s">
        <v>131</v>
      </c>
      <c r="E144" s="61" t="s">
        <v>116</v>
      </c>
      <c r="F144" s="61">
        <v>40</v>
      </c>
      <c r="G144" s="61">
        <v>130</v>
      </c>
      <c r="H144" s="61">
        <v>75</v>
      </c>
      <c r="I144" s="61">
        <v>250</v>
      </c>
      <c r="J144" s="61">
        <v>50</v>
      </c>
      <c r="K144" s="61">
        <v>302</v>
      </c>
      <c r="L144" s="61">
        <v>469</v>
      </c>
      <c r="M144" s="61">
        <v>275</v>
      </c>
      <c r="N144" s="61"/>
      <c r="O144" s="61">
        <v>51</v>
      </c>
      <c r="P144" s="61">
        <f>SUM(E144:L144)</f>
        <v>1316</v>
      </c>
    </row>
    <row r="145" spans="2:16" ht="18">
      <c r="B145" s="63">
        <v>7</v>
      </c>
      <c r="C145" s="63" t="s">
        <v>12</v>
      </c>
      <c r="D145" s="61" t="s">
        <v>131</v>
      </c>
      <c r="E145" s="61" t="s">
        <v>116</v>
      </c>
      <c r="F145" s="61">
        <v>40</v>
      </c>
      <c r="G145" s="61">
        <v>130</v>
      </c>
      <c r="H145" s="61">
        <v>75</v>
      </c>
      <c r="I145" s="61"/>
      <c r="J145" s="61">
        <v>50</v>
      </c>
      <c r="K145" s="61">
        <v>302</v>
      </c>
      <c r="L145" s="61">
        <v>469</v>
      </c>
      <c r="M145" s="61">
        <v>275</v>
      </c>
      <c r="N145" s="61"/>
      <c r="O145" s="61">
        <v>51</v>
      </c>
      <c r="P145" s="61">
        <f>SUM(E145:K145)</f>
        <v>597</v>
      </c>
    </row>
    <row r="146" spans="2:16" ht="18">
      <c r="B146" s="63">
        <v>8</v>
      </c>
      <c r="C146" s="63" t="s">
        <v>20</v>
      </c>
      <c r="D146" s="61" t="s">
        <v>131</v>
      </c>
      <c r="E146" s="61" t="s">
        <v>116</v>
      </c>
      <c r="F146" s="61">
        <v>40</v>
      </c>
      <c r="G146" s="61">
        <v>130</v>
      </c>
      <c r="H146" s="61"/>
      <c r="I146" s="61"/>
      <c r="J146" s="61">
        <v>50</v>
      </c>
      <c r="K146" s="61">
        <v>302</v>
      </c>
      <c r="L146" s="61">
        <v>469</v>
      </c>
      <c r="M146" s="61">
        <v>275</v>
      </c>
      <c r="N146" s="61"/>
      <c r="O146" s="61">
        <v>51</v>
      </c>
      <c r="P146" s="61">
        <f>SUM(E146:K146)</f>
        <v>522</v>
      </c>
    </row>
    <row r="147" spans="2:16" ht="18">
      <c r="B147" s="63"/>
      <c r="C147" s="63"/>
      <c r="D147" s="64"/>
      <c r="E147" s="64"/>
      <c r="F147" s="64"/>
      <c r="G147" s="64"/>
      <c r="H147" s="64"/>
      <c r="I147" s="64"/>
      <c r="J147" s="64"/>
      <c r="K147" s="64" t="s">
        <v>104</v>
      </c>
      <c r="L147" s="64" t="s">
        <v>105</v>
      </c>
      <c r="M147" s="64" t="s">
        <v>104</v>
      </c>
      <c r="N147" s="64" t="s">
        <v>105</v>
      </c>
      <c r="O147" s="64"/>
      <c r="P147" s="64"/>
    </row>
    <row r="148" spans="2:16" ht="18">
      <c r="B148" s="63">
        <v>9</v>
      </c>
      <c r="C148" s="63" t="s">
        <v>84</v>
      </c>
      <c r="D148" s="61" t="s">
        <v>131</v>
      </c>
      <c r="E148" s="61" t="s">
        <v>117</v>
      </c>
      <c r="F148" s="61">
        <v>40</v>
      </c>
      <c r="G148" s="61">
        <v>130</v>
      </c>
      <c r="H148" s="61">
        <v>75</v>
      </c>
      <c r="I148" s="61">
        <v>705</v>
      </c>
      <c r="J148" s="61">
        <v>50</v>
      </c>
      <c r="K148" s="61"/>
      <c r="L148" s="61">
        <v>1237.74</v>
      </c>
      <c r="M148" s="61"/>
      <c r="N148" s="61"/>
      <c r="O148" s="61"/>
      <c r="P148" s="61"/>
    </row>
    <row r="149" spans="2:16" ht="18">
      <c r="B149" s="63">
        <v>10</v>
      </c>
      <c r="C149" s="63" t="s">
        <v>1</v>
      </c>
      <c r="D149" s="61" t="s">
        <v>131</v>
      </c>
      <c r="E149" s="61" t="s">
        <v>117</v>
      </c>
      <c r="F149" s="61">
        <v>40</v>
      </c>
      <c r="G149" s="61">
        <v>130</v>
      </c>
      <c r="H149" s="61">
        <v>75</v>
      </c>
      <c r="I149" s="61">
        <v>250</v>
      </c>
      <c r="J149" s="61">
        <v>50</v>
      </c>
      <c r="K149" s="61">
        <v>302</v>
      </c>
      <c r="L149" s="61">
        <v>469</v>
      </c>
      <c r="M149" s="61">
        <v>275</v>
      </c>
      <c r="N149" s="61"/>
      <c r="O149" s="61">
        <v>51</v>
      </c>
      <c r="P149" s="61">
        <f>SUM(E149:L149)</f>
        <v>1316</v>
      </c>
    </row>
    <row r="150" spans="2:16" ht="18">
      <c r="B150" s="63">
        <v>11</v>
      </c>
      <c r="C150" s="63" t="s">
        <v>12</v>
      </c>
      <c r="D150" s="61" t="s">
        <v>131</v>
      </c>
      <c r="E150" s="61" t="s">
        <v>117</v>
      </c>
      <c r="F150" s="61">
        <v>40</v>
      </c>
      <c r="G150" s="61">
        <v>130</v>
      </c>
      <c r="H150" s="61">
        <v>75</v>
      </c>
      <c r="I150" s="61"/>
      <c r="J150" s="61">
        <v>50</v>
      </c>
      <c r="K150" s="61">
        <v>302</v>
      </c>
      <c r="L150" s="61">
        <v>469</v>
      </c>
      <c r="M150" s="61">
        <v>275</v>
      </c>
      <c r="N150" s="61"/>
      <c r="O150" s="61">
        <v>51</v>
      </c>
      <c r="P150" s="61">
        <f>SUM(E150:K150)</f>
        <v>597</v>
      </c>
    </row>
    <row r="151" spans="2:16" ht="18">
      <c r="B151" s="63">
        <v>12</v>
      </c>
      <c r="C151" s="63" t="s">
        <v>20</v>
      </c>
      <c r="D151" s="61" t="s">
        <v>131</v>
      </c>
      <c r="E151" s="61" t="s">
        <v>117</v>
      </c>
      <c r="F151" s="61">
        <v>40</v>
      </c>
      <c r="G151" s="61">
        <v>130</v>
      </c>
      <c r="H151" s="61"/>
      <c r="I151" s="61"/>
      <c r="J151" s="61">
        <v>50</v>
      </c>
      <c r="K151" s="61">
        <v>302</v>
      </c>
      <c r="L151" s="61">
        <v>469</v>
      </c>
      <c r="M151" s="61">
        <v>275</v>
      </c>
      <c r="N151" s="61"/>
      <c r="O151" s="61">
        <v>51</v>
      </c>
      <c r="P151" s="61">
        <f>SUM(E151:K151)</f>
        <v>522</v>
      </c>
    </row>
    <row r="152" spans="2:16" ht="18">
      <c r="B152" s="63"/>
      <c r="C152" s="63"/>
      <c r="D152" s="56"/>
      <c r="E152" s="56"/>
      <c r="F152" s="56"/>
      <c r="G152" s="56"/>
      <c r="H152" s="56"/>
      <c r="I152" s="56"/>
      <c r="J152" s="56"/>
      <c r="K152" s="56"/>
      <c r="L152" s="56"/>
      <c r="M152" s="56"/>
      <c r="N152" s="56"/>
      <c r="O152" s="56"/>
      <c r="P152" s="56"/>
    </row>
    <row r="153" spans="2:16" ht="18">
      <c r="B153" s="63">
        <v>1</v>
      </c>
      <c r="C153" s="63" t="s">
        <v>84</v>
      </c>
      <c r="D153" s="61" t="s">
        <v>134</v>
      </c>
      <c r="E153" s="61" t="s">
        <v>115</v>
      </c>
      <c r="F153" s="61">
        <v>40</v>
      </c>
      <c r="G153" s="61">
        <v>130</v>
      </c>
      <c r="H153" s="61">
        <v>75</v>
      </c>
      <c r="I153" s="61">
        <v>705</v>
      </c>
      <c r="J153" s="61">
        <v>50</v>
      </c>
      <c r="K153" s="61"/>
      <c r="L153" s="61">
        <v>1394</v>
      </c>
      <c r="M153" s="61"/>
      <c r="N153" s="61"/>
      <c r="O153" s="61"/>
      <c r="P153" s="61"/>
    </row>
    <row r="154" spans="2:16" ht="18">
      <c r="B154" s="63">
        <v>2</v>
      </c>
      <c r="C154" s="63" t="s">
        <v>1</v>
      </c>
      <c r="D154" s="61" t="s">
        <v>134</v>
      </c>
      <c r="E154" s="61" t="s">
        <v>115</v>
      </c>
      <c r="F154" s="61">
        <v>40</v>
      </c>
      <c r="G154" s="61">
        <v>130</v>
      </c>
      <c r="H154" s="61">
        <v>75</v>
      </c>
      <c r="I154" s="61">
        <v>250</v>
      </c>
      <c r="J154" s="61">
        <v>50</v>
      </c>
      <c r="K154" s="61">
        <v>121</v>
      </c>
      <c r="L154" s="61">
        <v>193</v>
      </c>
      <c r="M154" s="61">
        <v>393</v>
      </c>
      <c r="N154" s="61"/>
      <c r="O154" s="61">
        <v>39</v>
      </c>
      <c r="P154" s="61">
        <f>SUM(E154:L154)</f>
        <v>859</v>
      </c>
    </row>
    <row r="155" spans="2:16" ht="18">
      <c r="B155" s="63">
        <v>3</v>
      </c>
      <c r="C155" s="63" t="s">
        <v>12</v>
      </c>
      <c r="D155" s="61" t="s">
        <v>134</v>
      </c>
      <c r="E155" s="61" t="s">
        <v>115</v>
      </c>
      <c r="F155" s="61">
        <v>40</v>
      </c>
      <c r="G155" s="61">
        <v>130</v>
      </c>
      <c r="H155" s="61">
        <v>75</v>
      </c>
      <c r="I155" s="61"/>
      <c r="J155" s="61">
        <v>50</v>
      </c>
      <c r="K155" s="61">
        <v>121</v>
      </c>
      <c r="L155" s="61">
        <v>193</v>
      </c>
      <c r="M155" s="61">
        <v>393</v>
      </c>
      <c r="N155" s="61"/>
      <c r="O155" s="61">
        <v>39</v>
      </c>
      <c r="P155" s="61">
        <f>SUM(E155:K155)</f>
        <v>416</v>
      </c>
    </row>
    <row r="156" spans="2:16" ht="18">
      <c r="B156" s="63">
        <v>4</v>
      </c>
      <c r="C156" s="63" t="s">
        <v>20</v>
      </c>
      <c r="D156" s="61" t="s">
        <v>134</v>
      </c>
      <c r="E156" s="61" t="s">
        <v>115</v>
      </c>
      <c r="F156" s="61">
        <v>40</v>
      </c>
      <c r="G156" s="61">
        <v>130</v>
      </c>
      <c r="H156" s="61"/>
      <c r="I156" s="61"/>
      <c r="J156" s="61">
        <v>50</v>
      </c>
      <c r="K156" s="61">
        <v>121</v>
      </c>
      <c r="L156" s="61">
        <v>193</v>
      </c>
      <c r="M156" s="61">
        <v>393</v>
      </c>
      <c r="N156" s="61"/>
      <c r="O156" s="61">
        <v>39</v>
      </c>
      <c r="P156" s="61">
        <f>SUM(E156:K156)</f>
        <v>341</v>
      </c>
    </row>
    <row r="157" spans="2:16" ht="18">
      <c r="B157" s="63"/>
      <c r="C157" s="63"/>
      <c r="D157" s="64"/>
      <c r="E157" s="64"/>
      <c r="F157" s="64"/>
      <c r="G157" s="64"/>
      <c r="H157" s="64"/>
      <c r="I157" s="64"/>
      <c r="J157" s="64"/>
      <c r="K157" s="64" t="s">
        <v>104</v>
      </c>
      <c r="L157" s="64" t="s">
        <v>105</v>
      </c>
      <c r="M157" s="64" t="s">
        <v>104</v>
      </c>
      <c r="N157" s="64" t="s">
        <v>105</v>
      </c>
      <c r="O157" s="64"/>
      <c r="P157" s="64"/>
    </row>
    <row r="158" spans="2:16" ht="18">
      <c r="B158" s="63">
        <v>5</v>
      </c>
      <c r="C158" s="63" t="s">
        <v>84</v>
      </c>
      <c r="D158" s="61" t="s">
        <v>134</v>
      </c>
      <c r="E158" s="61" t="s">
        <v>116</v>
      </c>
      <c r="F158" s="61">
        <v>40</v>
      </c>
      <c r="G158" s="61">
        <v>130</v>
      </c>
      <c r="H158" s="61">
        <v>75</v>
      </c>
      <c r="I158" s="61">
        <v>705</v>
      </c>
      <c r="J158" s="61">
        <v>50</v>
      </c>
      <c r="K158" s="61"/>
      <c r="L158" s="61">
        <v>1394</v>
      </c>
      <c r="M158" s="61"/>
      <c r="N158" s="61"/>
      <c r="O158" s="61"/>
      <c r="P158" s="61"/>
    </row>
    <row r="159" spans="2:16" ht="18">
      <c r="B159" s="63">
        <v>6</v>
      </c>
      <c r="C159" s="63" t="s">
        <v>1</v>
      </c>
      <c r="D159" s="61" t="s">
        <v>134</v>
      </c>
      <c r="E159" s="61" t="s">
        <v>116</v>
      </c>
      <c r="F159" s="61">
        <v>40</v>
      </c>
      <c r="G159" s="61">
        <v>130</v>
      </c>
      <c r="H159" s="61">
        <v>75</v>
      </c>
      <c r="I159" s="61">
        <v>250</v>
      </c>
      <c r="J159" s="61">
        <v>50</v>
      </c>
      <c r="K159" s="61">
        <v>121</v>
      </c>
      <c r="L159" s="61">
        <v>193</v>
      </c>
      <c r="M159" s="61">
        <v>197</v>
      </c>
      <c r="N159" s="61"/>
      <c r="O159" s="61">
        <v>39</v>
      </c>
      <c r="P159" s="61">
        <f>SUM(E159:L159)</f>
        <v>859</v>
      </c>
    </row>
    <row r="160" spans="2:16" ht="18">
      <c r="B160" s="63">
        <v>7</v>
      </c>
      <c r="C160" s="63" t="s">
        <v>12</v>
      </c>
      <c r="D160" s="61" t="s">
        <v>134</v>
      </c>
      <c r="E160" s="61" t="s">
        <v>116</v>
      </c>
      <c r="F160" s="61">
        <v>40</v>
      </c>
      <c r="G160" s="61">
        <v>130</v>
      </c>
      <c r="H160" s="61">
        <v>75</v>
      </c>
      <c r="I160" s="61"/>
      <c r="J160" s="61">
        <v>50</v>
      </c>
      <c r="K160" s="61">
        <v>121</v>
      </c>
      <c r="L160" s="61">
        <v>193</v>
      </c>
      <c r="M160" s="61">
        <v>197</v>
      </c>
      <c r="N160" s="61"/>
      <c r="O160" s="61">
        <v>39</v>
      </c>
      <c r="P160" s="61">
        <f>SUM(E160:K160)</f>
        <v>416</v>
      </c>
    </row>
    <row r="161" spans="2:16" ht="18">
      <c r="B161" s="63">
        <v>8</v>
      </c>
      <c r="C161" s="63" t="s">
        <v>20</v>
      </c>
      <c r="D161" s="61" t="s">
        <v>134</v>
      </c>
      <c r="E161" s="61" t="s">
        <v>116</v>
      </c>
      <c r="F161" s="61">
        <v>40</v>
      </c>
      <c r="G161" s="61">
        <v>130</v>
      </c>
      <c r="H161" s="61"/>
      <c r="I161" s="61"/>
      <c r="J161" s="61">
        <v>50</v>
      </c>
      <c r="K161" s="61">
        <v>121</v>
      </c>
      <c r="L161" s="61">
        <v>193</v>
      </c>
      <c r="M161" s="61">
        <v>197</v>
      </c>
      <c r="N161" s="61"/>
      <c r="O161" s="61">
        <v>39</v>
      </c>
      <c r="P161" s="61">
        <f>SUM(E161:K161)</f>
        <v>341</v>
      </c>
    </row>
    <row r="162" spans="2:16" ht="18">
      <c r="B162" s="63"/>
      <c r="C162" s="63"/>
      <c r="D162" s="64"/>
      <c r="E162" s="64"/>
      <c r="F162" s="64"/>
      <c r="G162" s="64"/>
      <c r="H162" s="64"/>
      <c r="I162" s="64"/>
      <c r="J162" s="64"/>
      <c r="K162" s="64" t="s">
        <v>104</v>
      </c>
      <c r="L162" s="64" t="s">
        <v>105</v>
      </c>
      <c r="M162" s="64" t="s">
        <v>104</v>
      </c>
      <c r="N162" s="64" t="s">
        <v>105</v>
      </c>
      <c r="O162" s="64"/>
      <c r="P162" s="64"/>
    </row>
    <row r="163" spans="2:16" ht="18">
      <c r="B163" s="63">
        <v>9</v>
      </c>
      <c r="C163" s="63" t="s">
        <v>84</v>
      </c>
      <c r="D163" s="61" t="s">
        <v>134</v>
      </c>
      <c r="E163" s="61" t="s">
        <v>117</v>
      </c>
      <c r="F163" s="61">
        <v>40</v>
      </c>
      <c r="G163" s="61">
        <v>130</v>
      </c>
      <c r="H163" s="61">
        <v>75</v>
      </c>
      <c r="I163" s="61">
        <v>705</v>
      </c>
      <c r="J163" s="61">
        <v>50</v>
      </c>
      <c r="K163" s="61"/>
      <c r="L163" s="61">
        <v>1394</v>
      </c>
      <c r="M163" s="61"/>
      <c r="N163" s="61"/>
      <c r="O163" s="61"/>
      <c r="P163" s="61"/>
    </row>
    <row r="164" spans="2:16" ht="18">
      <c r="B164" s="63">
        <v>10</v>
      </c>
      <c r="C164" s="63" t="s">
        <v>1</v>
      </c>
      <c r="D164" s="61" t="s">
        <v>134</v>
      </c>
      <c r="E164" s="61" t="s">
        <v>117</v>
      </c>
      <c r="F164" s="61">
        <v>40</v>
      </c>
      <c r="G164" s="61">
        <v>130</v>
      </c>
      <c r="H164" s="61">
        <v>75</v>
      </c>
      <c r="I164" s="61">
        <v>250</v>
      </c>
      <c r="J164" s="61">
        <v>50</v>
      </c>
      <c r="K164" s="61">
        <v>121</v>
      </c>
      <c r="L164" s="61">
        <v>193</v>
      </c>
      <c r="M164" s="61">
        <v>0</v>
      </c>
      <c r="N164" s="61"/>
      <c r="O164" s="61">
        <v>39</v>
      </c>
      <c r="P164" s="61">
        <f>SUM(E164:L164)</f>
        <v>859</v>
      </c>
    </row>
    <row r="165" spans="2:16" ht="18">
      <c r="B165" s="63">
        <v>11</v>
      </c>
      <c r="C165" s="63" t="s">
        <v>12</v>
      </c>
      <c r="D165" s="61" t="s">
        <v>134</v>
      </c>
      <c r="E165" s="61" t="s">
        <v>117</v>
      </c>
      <c r="F165" s="61">
        <v>40</v>
      </c>
      <c r="G165" s="61">
        <v>130</v>
      </c>
      <c r="H165" s="61">
        <v>75</v>
      </c>
      <c r="I165" s="61"/>
      <c r="J165" s="61">
        <v>50</v>
      </c>
      <c r="K165" s="61">
        <v>121</v>
      </c>
      <c r="L165" s="61">
        <v>193</v>
      </c>
      <c r="M165" s="61">
        <v>0</v>
      </c>
      <c r="N165" s="61"/>
      <c r="O165" s="61">
        <v>39</v>
      </c>
      <c r="P165" s="61">
        <f>SUM(E165:K165)</f>
        <v>416</v>
      </c>
    </row>
    <row r="166" spans="2:16" ht="18">
      <c r="B166" s="63">
        <v>12</v>
      </c>
      <c r="C166" s="63" t="s">
        <v>20</v>
      </c>
      <c r="D166" s="61" t="s">
        <v>134</v>
      </c>
      <c r="E166" s="61" t="s">
        <v>117</v>
      </c>
      <c r="F166" s="61">
        <v>40</v>
      </c>
      <c r="G166" s="61">
        <v>130</v>
      </c>
      <c r="H166" s="61"/>
      <c r="I166" s="61"/>
      <c r="J166" s="61">
        <v>50</v>
      </c>
      <c r="K166" s="61">
        <v>121</v>
      </c>
      <c r="L166" s="61">
        <v>193</v>
      </c>
      <c r="M166" s="61">
        <v>0</v>
      </c>
      <c r="N166" s="61"/>
      <c r="O166" s="61">
        <v>39</v>
      </c>
      <c r="P166" s="61">
        <f>SUM(E166:K166)</f>
        <v>341</v>
      </c>
    </row>
    <row r="167" spans="2:16" ht="18">
      <c r="B167" s="63"/>
      <c r="C167" s="63"/>
      <c r="D167" s="56"/>
      <c r="E167" s="56"/>
      <c r="F167" s="56"/>
      <c r="G167" s="56"/>
      <c r="H167" s="56"/>
      <c r="I167" s="56"/>
      <c r="J167" s="56"/>
      <c r="K167" s="56"/>
      <c r="L167" s="56"/>
      <c r="M167" s="56"/>
      <c r="N167" s="56"/>
      <c r="O167" s="56"/>
      <c r="P167" s="56"/>
    </row>
    <row r="168" spans="2:16" ht="18">
      <c r="B168" s="63">
        <v>1</v>
      </c>
      <c r="C168" s="63" t="s">
        <v>84</v>
      </c>
      <c r="D168" s="61" t="s">
        <v>135</v>
      </c>
      <c r="E168" s="61" t="s">
        <v>115</v>
      </c>
      <c r="F168" s="61"/>
      <c r="G168" s="61"/>
      <c r="H168" s="61"/>
      <c r="I168" s="61"/>
      <c r="J168" s="61"/>
      <c r="K168" s="61"/>
      <c r="L168" s="61"/>
      <c r="M168" s="61"/>
      <c r="N168" s="61"/>
      <c r="O168" s="61"/>
      <c r="P168" s="61"/>
    </row>
    <row r="169" spans="2:16" ht="18">
      <c r="B169" s="63">
        <v>2</v>
      </c>
      <c r="C169" s="63" t="s">
        <v>1</v>
      </c>
      <c r="D169" s="61" t="s">
        <v>135</v>
      </c>
      <c r="E169" s="61" t="s">
        <v>115</v>
      </c>
      <c r="F169" s="61">
        <v>40</v>
      </c>
      <c r="G169" s="61">
        <v>130</v>
      </c>
      <c r="H169" s="61">
        <v>75</v>
      </c>
      <c r="I169" s="61">
        <v>250</v>
      </c>
      <c r="J169" s="61">
        <v>50</v>
      </c>
      <c r="K169" s="61">
        <v>106</v>
      </c>
      <c r="L169" s="61">
        <v>440</v>
      </c>
      <c r="M169" s="61">
        <v>393</v>
      </c>
      <c r="N169" s="61"/>
      <c r="O169" s="61">
        <v>63</v>
      </c>
      <c r="P169" s="61">
        <f>SUM(E169:L169)</f>
        <v>1091</v>
      </c>
    </row>
    <row r="170" spans="2:16" ht="18">
      <c r="B170" s="63">
        <v>3</v>
      </c>
      <c r="C170" s="63" t="s">
        <v>12</v>
      </c>
      <c r="D170" s="61" t="s">
        <v>135</v>
      </c>
      <c r="E170" s="61" t="s">
        <v>115</v>
      </c>
      <c r="F170" s="61">
        <v>40</v>
      </c>
      <c r="G170" s="61">
        <v>130</v>
      </c>
      <c r="H170" s="61">
        <v>75</v>
      </c>
      <c r="I170" s="61"/>
      <c r="J170" s="61">
        <v>50</v>
      </c>
      <c r="K170" s="61">
        <v>106</v>
      </c>
      <c r="L170" s="61">
        <v>440</v>
      </c>
      <c r="M170" s="61">
        <v>393</v>
      </c>
      <c r="N170" s="61"/>
      <c r="O170" s="61">
        <v>63</v>
      </c>
      <c r="P170" s="61">
        <f>SUM(E170:K170)</f>
        <v>401</v>
      </c>
    </row>
    <row r="171" spans="2:16" ht="18">
      <c r="B171" s="63">
        <v>4</v>
      </c>
      <c r="C171" s="63" t="s">
        <v>20</v>
      </c>
      <c r="D171" s="61" t="s">
        <v>135</v>
      </c>
      <c r="E171" s="61" t="s">
        <v>115</v>
      </c>
      <c r="F171" s="61">
        <v>40</v>
      </c>
      <c r="G171" s="61">
        <v>130</v>
      </c>
      <c r="H171" s="61"/>
      <c r="I171" s="61"/>
      <c r="J171" s="61"/>
      <c r="K171" s="61">
        <v>106</v>
      </c>
      <c r="L171" s="61">
        <v>440</v>
      </c>
      <c r="M171" s="61">
        <v>393</v>
      </c>
      <c r="N171" s="61"/>
      <c r="O171" s="61">
        <v>63</v>
      </c>
      <c r="P171" s="61">
        <f>SUM(E171:K171)</f>
        <v>276</v>
      </c>
    </row>
    <row r="172" spans="2:16" ht="18">
      <c r="B172" s="63"/>
      <c r="C172" s="63"/>
      <c r="D172" s="64"/>
      <c r="E172" s="64"/>
      <c r="F172" s="64"/>
      <c r="G172" s="64"/>
      <c r="H172" s="64"/>
      <c r="I172" s="64"/>
      <c r="J172" s="64"/>
      <c r="K172" s="64" t="s">
        <v>104</v>
      </c>
      <c r="L172" s="64" t="s">
        <v>105</v>
      </c>
      <c r="M172" s="64" t="s">
        <v>104</v>
      </c>
      <c r="N172" s="64" t="s">
        <v>105</v>
      </c>
      <c r="O172" s="64"/>
      <c r="P172" s="64"/>
    </row>
    <row r="173" spans="2:16" ht="18">
      <c r="B173" s="63">
        <v>5</v>
      </c>
      <c r="C173" s="63" t="s">
        <v>84</v>
      </c>
      <c r="D173" s="61" t="s">
        <v>135</v>
      </c>
      <c r="E173" s="61" t="s">
        <v>116</v>
      </c>
      <c r="F173" s="61"/>
      <c r="G173" s="61"/>
      <c r="H173" s="61"/>
      <c r="I173" s="61"/>
      <c r="J173" s="61"/>
      <c r="K173" s="61"/>
      <c r="L173" s="61"/>
      <c r="M173" s="61"/>
      <c r="N173" s="61"/>
      <c r="O173" s="61"/>
      <c r="P173" s="61"/>
    </row>
    <row r="174" spans="2:16" ht="18">
      <c r="B174" s="63">
        <v>6</v>
      </c>
      <c r="C174" s="63" t="s">
        <v>1</v>
      </c>
      <c r="D174" s="61" t="s">
        <v>135</v>
      </c>
      <c r="E174" s="61" t="s">
        <v>116</v>
      </c>
      <c r="F174" s="61">
        <v>40</v>
      </c>
      <c r="G174" s="61">
        <v>130</v>
      </c>
      <c r="H174" s="61">
        <v>75</v>
      </c>
      <c r="I174" s="61">
        <v>250</v>
      </c>
      <c r="J174" s="61">
        <v>50</v>
      </c>
      <c r="K174" s="61">
        <v>106</v>
      </c>
      <c r="L174" s="61">
        <v>440</v>
      </c>
      <c r="M174" s="61">
        <v>197</v>
      </c>
      <c r="N174" s="61"/>
      <c r="O174" s="61">
        <v>63</v>
      </c>
      <c r="P174" s="61">
        <f>SUM(E174:L174)</f>
        <v>1091</v>
      </c>
    </row>
    <row r="175" spans="2:16" ht="18">
      <c r="B175" s="63">
        <v>7</v>
      </c>
      <c r="C175" s="63" t="s">
        <v>12</v>
      </c>
      <c r="D175" s="61" t="s">
        <v>135</v>
      </c>
      <c r="E175" s="61" t="s">
        <v>116</v>
      </c>
      <c r="F175" s="61">
        <v>40</v>
      </c>
      <c r="G175" s="61">
        <v>130</v>
      </c>
      <c r="H175" s="61">
        <v>75</v>
      </c>
      <c r="I175" s="61"/>
      <c r="J175" s="61">
        <v>50</v>
      </c>
      <c r="K175" s="61">
        <v>106</v>
      </c>
      <c r="L175" s="61">
        <v>440</v>
      </c>
      <c r="M175" s="61">
        <v>197</v>
      </c>
      <c r="N175" s="61"/>
      <c r="O175" s="61">
        <v>63</v>
      </c>
      <c r="P175" s="61">
        <f>SUM(E175:K175)</f>
        <v>401</v>
      </c>
    </row>
    <row r="176" spans="2:16" ht="18">
      <c r="B176" s="63">
        <v>8</v>
      </c>
      <c r="C176" s="63" t="s">
        <v>20</v>
      </c>
      <c r="D176" s="61" t="s">
        <v>135</v>
      </c>
      <c r="E176" s="61" t="s">
        <v>116</v>
      </c>
      <c r="F176" s="61">
        <v>40</v>
      </c>
      <c r="G176" s="61">
        <v>130</v>
      </c>
      <c r="H176" s="61"/>
      <c r="I176" s="61"/>
      <c r="J176" s="61"/>
      <c r="K176" s="61">
        <v>106</v>
      </c>
      <c r="L176" s="61">
        <v>44</v>
      </c>
      <c r="M176" s="61">
        <v>197</v>
      </c>
      <c r="N176" s="61"/>
      <c r="O176" s="61">
        <v>63</v>
      </c>
      <c r="P176" s="61">
        <f>SUM(E176:K176)</f>
        <v>276</v>
      </c>
    </row>
    <row r="177" spans="2:16" ht="18">
      <c r="B177" s="63"/>
      <c r="C177" s="63"/>
      <c r="D177" s="64"/>
      <c r="E177" s="64"/>
      <c r="F177" s="64"/>
      <c r="G177" s="64"/>
      <c r="H177" s="64"/>
      <c r="I177" s="64"/>
      <c r="J177" s="64"/>
      <c r="K177" s="64" t="s">
        <v>104</v>
      </c>
      <c r="L177" s="64" t="s">
        <v>105</v>
      </c>
      <c r="M177" s="64" t="s">
        <v>104</v>
      </c>
      <c r="N177" s="64" t="s">
        <v>105</v>
      </c>
      <c r="O177" s="64"/>
      <c r="P177" s="64"/>
    </row>
    <row r="178" spans="2:16" ht="18">
      <c r="B178" s="63">
        <v>9</v>
      </c>
      <c r="C178" s="63" t="s">
        <v>84</v>
      </c>
      <c r="D178" s="61" t="s">
        <v>135</v>
      </c>
      <c r="E178" s="61" t="s">
        <v>117</v>
      </c>
      <c r="F178" s="61"/>
      <c r="G178" s="61"/>
      <c r="H178" s="61"/>
      <c r="I178" s="61"/>
      <c r="J178" s="61"/>
      <c r="K178" s="61"/>
      <c r="L178" s="61"/>
      <c r="M178" s="61"/>
      <c r="N178" s="61"/>
      <c r="O178" s="61"/>
      <c r="P178" s="61"/>
    </row>
    <row r="179" spans="2:16" ht="18">
      <c r="B179" s="63">
        <v>10</v>
      </c>
      <c r="C179" s="63" t="s">
        <v>1</v>
      </c>
      <c r="D179" s="61" t="s">
        <v>135</v>
      </c>
      <c r="E179" s="61" t="s">
        <v>117</v>
      </c>
      <c r="F179" s="61">
        <v>40</v>
      </c>
      <c r="G179" s="61">
        <v>130</v>
      </c>
      <c r="H179" s="61">
        <v>75</v>
      </c>
      <c r="I179" s="61">
        <v>250</v>
      </c>
      <c r="J179" s="61">
        <v>50</v>
      </c>
      <c r="K179" s="61">
        <v>106</v>
      </c>
      <c r="L179" s="61">
        <v>440</v>
      </c>
      <c r="M179" s="61">
        <v>0</v>
      </c>
      <c r="N179" s="61"/>
      <c r="O179" s="61">
        <v>63</v>
      </c>
      <c r="P179" s="61">
        <f>SUM(E179:L179)</f>
        <v>1091</v>
      </c>
    </row>
    <row r="180" spans="2:16" ht="18">
      <c r="B180" s="63">
        <v>11</v>
      </c>
      <c r="C180" s="63" t="s">
        <v>12</v>
      </c>
      <c r="D180" s="61" t="s">
        <v>135</v>
      </c>
      <c r="E180" s="61" t="s">
        <v>117</v>
      </c>
      <c r="F180" s="61">
        <v>40</v>
      </c>
      <c r="G180" s="61">
        <v>130</v>
      </c>
      <c r="H180" s="61">
        <v>75</v>
      </c>
      <c r="I180" s="61"/>
      <c r="J180" s="61">
        <v>50</v>
      </c>
      <c r="K180" s="61">
        <v>106</v>
      </c>
      <c r="L180" s="61">
        <v>440</v>
      </c>
      <c r="M180" s="61">
        <v>0</v>
      </c>
      <c r="N180" s="61"/>
      <c r="O180" s="61">
        <v>63</v>
      </c>
      <c r="P180" s="61">
        <f>SUM(E180:K180)</f>
        <v>401</v>
      </c>
    </row>
    <row r="181" spans="2:16" ht="18">
      <c r="B181" s="63">
        <v>12</v>
      </c>
      <c r="C181" s="63" t="s">
        <v>20</v>
      </c>
      <c r="D181" s="61" t="s">
        <v>135</v>
      </c>
      <c r="E181" s="61" t="s">
        <v>117</v>
      </c>
      <c r="F181" s="61">
        <v>40</v>
      </c>
      <c r="G181" s="61">
        <v>130</v>
      </c>
      <c r="H181" s="61"/>
      <c r="I181" s="61"/>
      <c r="J181" s="61"/>
      <c r="K181" s="61">
        <v>106</v>
      </c>
      <c r="L181" s="61">
        <v>440</v>
      </c>
      <c r="M181" s="61">
        <v>0</v>
      </c>
      <c r="N181" s="61"/>
      <c r="O181" s="61">
        <v>63</v>
      </c>
      <c r="P181" s="61">
        <f>SUM(E181:K181)</f>
        <v>276</v>
      </c>
    </row>
    <row r="182" spans="2:16" ht="18">
      <c r="B182" s="63"/>
      <c r="C182" s="63"/>
      <c r="D182" s="56"/>
      <c r="E182" s="56"/>
      <c r="F182" s="56"/>
      <c r="G182" s="56"/>
      <c r="H182" s="56"/>
      <c r="I182" s="56"/>
      <c r="J182" s="56"/>
      <c r="K182" s="56"/>
      <c r="L182" s="56"/>
      <c r="M182" s="56"/>
      <c r="N182" s="56"/>
      <c r="O182" s="56"/>
      <c r="P182" s="56"/>
    </row>
    <row r="183" spans="2:16" ht="18">
      <c r="B183" s="63">
        <v>1</v>
      </c>
      <c r="C183" s="63" t="s">
        <v>84</v>
      </c>
      <c r="D183" s="61" t="s">
        <v>136</v>
      </c>
      <c r="E183" s="61" t="s">
        <v>115</v>
      </c>
      <c r="F183" s="61">
        <v>40</v>
      </c>
      <c r="G183" s="61">
        <v>130</v>
      </c>
      <c r="H183" s="61">
        <v>75</v>
      </c>
      <c r="I183" s="61">
        <v>705</v>
      </c>
      <c r="J183" s="61">
        <v>50</v>
      </c>
      <c r="K183" s="61"/>
      <c r="L183" s="61">
        <v>1300</v>
      </c>
      <c r="M183" s="61"/>
      <c r="N183" s="61"/>
      <c r="O183" s="61"/>
      <c r="P183" s="61"/>
    </row>
    <row r="184" spans="2:16" ht="18">
      <c r="B184" s="63">
        <v>2</v>
      </c>
      <c r="C184" s="63" t="s">
        <v>1</v>
      </c>
      <c r="D184" s="61" t="s">
        <v>136</v>
      </c>
      <c r="E184" s="61" t="s">
        <v>115</v>
      </c>
      <c r="F184" s="61">
        <v>40</v>
      </c>
      <c r="G184" s="61">
        <v>130</v>
      </c>
      <c r="H184" s="61">
        <v>75</v>
      </c>
      <c r="I184" s="61">
        <v>250</v>
      </c>
      <c r="J184" s="61">
        <v>50</v>
      </c>
      <c r="K184" s="61">
        <v>87</v>
      </c>
      <c r="L184" s="61">
        <v>424</v>
      </c>
      <c r="M184" s="61">
        <v>393</v>
      </c>
      <c r="N184" s="61"/>
      <c r="O184" s="61">
        <v>83</v>
      </c>
      <c r="P184" s="61">
        <f>SUM(E184:L184)</f>
        <v>1056</v>
      </c>
    </row>
    <row r="185" spans="2:16" ht="18">
      <c r="B185" s="63">
        <v>3</v>
      </c>
      <c r="C185" s="63" t="s">
        <v>12</v>
      </c>
      <c r="D185" s="61" t="s">
        <v>136</v>
      </c>
      <c r="E185" s="61" t="s">
        <v>115</v>
      </c>
      <c r="F185" s="61">
        <v>40</v>
      </c>
      <c r="G185" s="61">
        <v>130</v>
      </c>
      <c r="H185" s="61">
        <v>75</v>
      </c>
      <c r="I185" s="61"/>
      <c r="J185" s="61">
        <v>50</v>
      </c>
      <c r="K185" s="61">
        <v>87</v>
      </c>
      <c r="L185" s="61">
        <v>424</v>
      </c>
      <c r="M185" s="61">
        <v>393</v>
      </c>
      <c r="N185" s="61"/>
      <c r="O185" s="61">
        <v>83</v>
      </c>
      <c r="P185" s="61">
        <f>SUM(E185:K185)</f>
        <v>382</v>
      </c>
    </row>
    <row r="186" spans="2:16" ht="18">
      <c r="B186" s="63">
        <v>4</v>
      </c>
      <c r="C186" s="63" t="s">
        <v>20</v>
      </c>
      <c r="D186" s="61" t="s">
        <v>136</v>
      </c>
      <c r="E186" s="61" t="s">
        <v>115</v>
      </c>
      <c r="F186" s="61">
        <v>40</v>
      </c>
      <c r="G186" s="61">
        <v>130</v>
      </c>
      <c r="H186" s="61"/>
      <c r="I186" s="61"/>
      <c r="J186" s="61">
        <v>50</v>
      </c>
      <c r="K186" s="61">
        <v>87</v>
      </c>
      <c r="L186" s="61">
        <v>424</v>
      </c>
      <c r="M186" s="61">
        <v>393</v>
      </c>
      <c r="N186" s="61"/>
      <c r="O186" s="61">
        <v>83</v>
      </c>
      <c r="P186" s="61">
        <f>SUM(E186:K186)</f>
        <v>307</v>
      </c>
    </row>
    <row r="187" spans="2:16" ht="18">
      <c r="B187" s="63"/>
      <c r="C187" s="63"/>
      <c r="D187" s="64"/>
      <c r="E187" s="64"/>
      <c r="F187" s="64"/>
      <c r="G187" s="64"/>
      <c r="H187" s="64"/>
      <c r="I187" s="64"/>
      <c r="J187" s="64"/>
      <c r="K187" s="64" t="s">
        <v>104</v>
      </c>
      <c r="L187" s="64" t="s">
        <v>105</v>
      </c>
      <c r="M187" s="64" t="s">
        <v>104</v>
      </c>
      <c r="N187" s="64" t="s">
        <v>105</v>
      </c>
      <c r="O187" s="64"/>
      <c r="P187" s="64"/>
    </row>
    <row r="188" spans="2:16" ht="18">
      <c r="B188" s="63">
        <v>5</v>
      </c>
      <c r="C188" s="63" t="s">
        <v>84</v>
      </c>
      <c r="D188" s="61" t="s">
        <v>136</v>
      </c>
      <c r="E188" s="61" t="s">
        <v>116</v>
      </c>
      <c r="F188" s="61">
        <v>40</v>
      </c>
      <c r="G188" s="61">
        <v>130</v>
      </c>
      <c r="H188" s="61">
        <v>75</v>
      </c>
      <c r="I188" s="61">
        <v>705</v>
      </c>
      <c r="J188" s="61">
        <v>50</v>
      </c>
      <c r="K188" s="61"/>
      <c r="L188" s="61">
        <v>1300</v>
      </c>
      <c r="M188" s="61"/>
      <c r="N188" s="61"/>
      <c r="O188" s="61"/>
      <c r="P188" s="61"/>
    </row>
    <row r="189" spans="2:16" ht="18">
      <c r="B189" s="63">
        <v>6</v>
      </c>
      <c r="C189" s="63" t="s">
        <v>1</v>
      </c>
      <c r="D189" s="61" t="s">
        <v>136</v>
      </c>
      <c r="E189" s="61" t="s">
        <v>116</v>
      </c>
      <c r="F189" s="61">
        <v>40</v>
      </c>
      <c r="G189" s="61">
        <v>130</v>
      </c>
      <c r="H189" s="61">
        <v>75</v>
      </c>
      <c r="I189" s="61">
        <v>250</v>
      </c>
      <c r="J189" s="61">
        <v>50</v>
      </c>
      <c r="K189" s="61">
        <v>87</v>
      </c>
      <c r="L189" s="61">
        <v>424</v>
      </c>
      <c r="M189" s="61">
        <v>197</v>
      </c>
      <c r="N189" s="61"/>
      <c r="O189" s="61">
        <v>83</v>
      </c>
      <c r="P189" s="61">
        <f>SUM(E189:L189)</f>
        <v>1056</v>
      </c>
    </row>
    <row r="190" spans="2:16" ht="18">
      <c r="B190" s="63">
        <v>7</v>
      </c>
      <c r="C190" s="63" t="s">
        <v>12</v>
      </c>
      <c r="D190" s="61" t="s">
        <v>136</v>
      </c>
      <c r="E190" s="61" t="s">
        <v>116</v>
      </c>
      <c r="F190" s="61">
        <v>40</v>
      </c>
      <c r="G190" s="61">
        <v>130</v>
      </c>
      <c r="H190" s="61">
        <v>75</v>
      </c>
      <c r="I190" s="61"/>
      <c r="J190" s="61">
        <v>50</v>
      </c>
      <c r="K190" s="61">
        <v>87</v>
      </c>
      <c r="L190" s="61">
        <v>424</v>
      </c>
      <c r="M190" s="61">
        <v>197</v>
      </c>
      <c r="N190" s="61"/>
      <c r="O190" s="61">
        <v>83</v>
      </c>
      <c r="P190" s="61">
        <f>SUM(E190:K190)</f>
        <v>382</v>
      </c>
    </row>
    <row r="191" spans="2:16" ht="18">
      <c r="B191" s="63">
        <v>8</v>
      </c>
      <c r="C191" s="63" t="s">
        <v>20</v>
      </c>
      <c r="D191" s="61" t="s">
        <v>136</v>
      </c>
      <c r="E191" s="61" t="s">
        <v>116</v>
      </c>
      <c r="F191" s="61">
        <v>40</v>
      </c>
      <c r="G191" s="61">
        <v>130</v>
      </c>
      <c r="H191" s="61"/>
      <c r="I191" s="61"/>
      <c r="J191" s="61">
        <v>50</v>
      </c>
      <c r="K191" s="61">
        <v>87</v>
      </c>
      <c r="L191" s="61">
        <v>424</v>
      </c>
      <c r="M191" s="61">
        <v>197</v>
      </c>
      <c r="N191" s="61"/>
      <c r="O191" s="61">
        <v>83</v>
      </c>
      <c r="P191" s="61">
        <f>SUM(E191:K191)</f>
        <v>307</v>
      </c>
    </row>
    <row r="192" spans="2:16" ht="18">
      <c r="B192" s="63"/>
      <c r="C192" s="63"/>
      <c r="D192" s="64"/>
      <c r="E192" s="64"/>
      <c r="F192" s="64"/>
      <c r="G192" s="64"/>
      <c r="H192" s="64"/>
      <c r="I192" s="64"/>
      <c r="J192" s="64"/>
      <c r="K192" s="64" t="s">
        <v>104</v>
      </c>
      <c r="L192" s="64" t="s">
        <v>105</v>
      </c>
      <c r="M192" s="64" t="s">
        <v>104</v>
      </c>
      <c r="N192" s="64" t="s">
        <v>105</v>
      </c>
      <c r="O192" s="64"/>
      <c r="P192" s="64"/>
    </row>
    <row r="193" spans="2:16" ht="18">
      <c r="B193" s="63">
        <v>9</v>
      </c>
      <c r="C193" s="63" t="s">
        <v>84</v>
      </c>
      <c r="D193" s="61" t="s">
        <v>136</v>
      </c>
      <c r="E193" s="61" t="s">
        <v>117</v>
      </c>
      <c r="F193" s="61">
        <v>40</v>
      </c>
      <c r="G193" s="61">
        <v>130</v>
      </c>
      <c r="H193" s="61">
        <v>75</v>
      </c>
      <c r="I193" s="61">
        <v>705</v>
      </c>
      <c r="J193" s="61">
        <v>50</v>
      </c>
      <c r="K193" s="61"/>
      <c r="L193" s="61">
        <v>1300</v>
      </c>
      <c r="M193" s="61"/>
      <c r="N193" s="61"/>
      <c r="O193" s="61"/>
      <c r="P193" s="61"/>
    </row>
    <row r="194" spans="2:16" ht="18">
      <c r="B194" s="63">
        <v>10</v>
      </c>
      <c r="C194" s="63" t="s">
        <v>1</v>
      </c>
      <c r="D194" s="61" t="s">
        <v>136</v>
      </c>
      <c r="E194" s="61" t="s">
        <v>117</v>
      </c>
      <c r="F194" s="61">
        <v>40</v>
      </c>
      <c r="G194" s="61">
        <v>130</v>
      </c>
      <c r="H194" s="61">
        <v>75</v>
      </c>
      <c r="I194" s="61">
        <v>250</v>
      </c>
      <c r="J194" s="61">
        <v>50</v>
      </c>
      <c r="K194" s="61">
        <v>87</v>
      </c>
      <c r="L194" s="61">
        <v>424</v>
      </c>
      <c r="M194" s="61">
        <v>0</v>
      </c>
      <c r="N194" s="61"/>
      <c r="O194" s="61">
        <v>83</v>
      </c>
      <c r="P194" s="61">
        <f>SUM(E194:L194)</f>
        <v>1056</v>
      </c>
    </row>
    <row r="195" spans="2:16" ht="18">
      <c r="B195" s="63">
        <v>11</v>
      </c>
      <c r="C195" s="63" t="s">
        <v>12</v>
      </c>
      <c r="D195" s="61" t="s">
        <v>136</v>
      </c>
      <c r="E195" s="61" t="s">
        <v>117</v>
      </c>
      <c r="F195" s="61">
        <v>40</v>
      </c>
      <c r="G195" s="61">
        <v>130</v>
      </c>
      <c r="H195" s="61">
        <v>75</v>
      </c>
      <c r="I195" s="61"/>
      <c r="J195" s="61">
        <v>50</v>
      </c>
      <c r="K195" s="61">
        <v>87</v>
      </c>
      <c r="L195" s="61">
        <v>424</v>
      </c>
      <c r="M195" s="61">
        <v>0</v>
      </c>
      <c r="N195" s="61"/>
      <c r="O195" s="61">
        <v>83</v>
      </c>
      <c r="P195" s="61">
        <f>SUM(E195:K195)</f>
        <v>382</v>
      </c>
    </row>
    <row r="196" spans="2:16" ht="18">
      <c r="B196" s="63">
        <v>12</v>
      </c>
      <c r="C196" s="63" t="s">
        <v>20</v>
      </c>
      <c r="D196" s="61" t="s">
        <v>136</v>
      </c>
      <c r="E196" s="61" t="s">
        <v>117</v>
      </c>
      <c r="F196" s="61">
        <v>40</v>
      </c>
      <c r="G196" s="61">
        <v>130</v>
      </c>
      <c r="H196" s="61"/>
      <c r="I196" s="61"/>
      <c r="J196" s="61">
        <v>50</v>
      </c>
      <c r="K196" s="61">
        <v>87</v>
      </c>
      <c r="L196" s="61">
        <v>424</v>
      </c>
      <c r="M196" s="61">
        <v>0</v>
      </c>
      <c r="N196" s="61"/>
      <c r="O196" s="61">
        <v>83</v>
      </c>
      <c r="P196" s="61">
        <f>SUM(E196:K196)</f>
        <v>307</v>
      </c>
    </row>
    <row r="197" spans="2:16" ht="18">
      <c r="B197" s="63"/>
      <c r="C197" s="63"/>
      <c r="D197" s="56"/>
      <c r="E197" s="56"/>
      <c r="F197" s="56"/>
      <c r="G197" s="56"/>
      <c r="H197" s="56"/>
      <c r="I197" s="56"/>
      <c r="J197" s="56"/>
      <c r="K197" s="56"/>
      <c r="L197" s="56"/>
      <c r="M197" s="56"/>
      <c r="N197" s="56"/>
      <c r="O197" s="56"/>
      <c r="P197" s="56"/>
    </row>
    <row r="198" spans="2:16" ht="18">
      <c r="B198" s="63">
        <v>1</v>
      </c>
      <c r="C198" s="63" t="s">
        <v>84</v>
      </c>
      <c r="D198" s="61" t="s">
        <v>137</v>
      </c>
      <c r="E198" s="61" t="s">
        <v>115</v>
      </c>
      <c r="F198" s="61">
        <v>40</v>
      </c>
      <c r="G198" s="61">
        <v>130</v>
      </c>
      <c r="H198" s="61">
        <v>75</v>
      </c>
      <c r="I198" s="61">
        <v>705</v>
      </c>
      <c r="J198" s="61">
        <v>50</v>
      </c>
      <c r="K198" s="61"/>
      <c r="L198" s="61">
        <v>690</v>
      </c>
      <c r="M198" s="61"/>
      <c r="N198" s="61"/>
      <c r="O198" s="61"/>
      <c r="P198" s="61"/>
    </row>
    <row r="199" spans="2:16" ht="18">
      <c r="B199" s="63">
        <v>2</v>
      </c>
      <c r="C199" s="63" t="s">
        <v>1</v>
      </c>
      <c r="D199" s="61" t="s">
        <v>137</v>
      </c>
      <c r="E199" s="61" t="s">
        <v>115</v>
      </c>
      <c r="F199" s="61">
        <v>40</v>
      </c>
      <c r="G199" s="61">
        <v>130</v>
      </c>
      <c r="H199" s="61">
        <v>75</v>
      </c>
      <c r="I199" s="61">
        <v>250</v>
      </c>
      <c r="J199" s="61">
        <v>50</v>
      </c>
      <c r="K199" s="61">
        <v>315</v>
      </c>
      <c r="L199" s="61">
        <v>431</v>
      </c>
      <c r="M199" s="61">
        <v>489</v>
      </c>
      <c r="N199" s="61"/>
      <c r="O199" s="61">
        <v>116</v>
      </c>
      <c r="P199" s="61">
        <f>SUM(E199:L199)</f>
        <v>1291</v>
      </c>
    </row>
    <row r="200" spans="2:16" ht="18">
      <c r="B200" s="63">
        <v>3</v>
      </c>
      <c r="C200" s="63" t="s">
        <v>12</v>
      </c>
      <c r="D200" s="61" t="s">
        <v>137</v>
      </c>
      <c r="E200" s="61" t="s">
        <v>115</v>
      </c>
      <c r="F200" s="61">
        <v>40</v>
      </c>
      <c r="G200" s="61">
        <v>130</v>
      </c>
      <c r="H200" s="61">
        <v>75</v>
      </c>
      <c r="I200" s="61"/>
      <c r="J200" s="61">
        <v>50</v>
      </c>
      <c r="K200" s="61">
        <v>315</v>
      </c>
      <c r="L200" s="61"/>
      <c r="M200" s="61">
        <v>489</v>
      </c>
      <c r="N200" s="61"/>
      <c r="O200" s="61">
        <v>116</v>
      </c>
      <c r="P200" s="61">
        <f>SUM(E200:K200)</f>
        <v>610</v>
      </c>
    </row>
    <row r="201" spans="2:16" ht="18">
      <c r="B201" s="63">
        <v>4</v>
      </c>
      <c r="C201" s="63" t="s">
        <v>20</v>
      </c>
      <c r="D201" s="61" t="s">
        <v>137</v>
      </c>
      <c r="E201" s="61" t="s">
        <v>115</v>
      </c>
      <c r="F201" s="61">
        <v>40</v>
      </c>
      <c r="G201" s="61">
        <v>130</v>
      </c>
      <c r="H201" s="61"/>
      <c r="I201" s="61"/>
      <c r="J201" s="61"/>
      <c r="K201" s="61">
        <v>315</v>
      </c>
      <c r="L201" s="61"/>
      <c r="M201" s="61">
        <v>489</v>
      </c>
      <c r="N201" s="61"/>
      <c r="O201" s="61">
        <v>116</v>
      </c>
      <c r="P201" s="61">
        <f>SUM(E201:K201)</f>
        <v>485</v>
      </c>
    </row>
    <row r="202" spans="2:16" ht="18">
      <c r="B202" s="63"/>
      <c r="C202" s="63"/>
      <c r="D202" s="64"/>
      <c r="E202" s="64"/>
      <c r="F202" s="64"/>
      <c r="G202" s="64"/>
      <c r="H202" s="64"/>
      <c r="I202" s="64"/>
      <c r="J202" s="64"/>
      <c r="K202" s="64" t="s">
        <v>104</v>
      </c>
      <c r="L202" s="64" t="s">
        <v>105</v>
      </c>
      <c r="M202" s="64" t="s">
        <v>104</v>
      </c>
      <c r="N202" s="64" t="s">
        <v>105</v>
      </c>
      <c r="O202" s="64"/>
      <c r="P202" s="64"/>
    </row>
    <row r="203" spans="2:16" ht="18">
      <c r="B203" s="63">
        <v>5</v>
      </c>
      <c r="C203" s="63" t="s">
        <v>84</v>
      </c>
      <c r="D203" s="61" t="s">
        <v>137</v>
      </c>
      <c r="E203" s="61" t="s">
        <v>116</v>
      </c>
      <c r="F203" s="61">
        <v>40</v>
      </c>
      <c r="G203" s="61">
        <v>130</v>
      </c>
      <c r="H203" s="61">
        <v>75</v>
      </c>
      <c r="I203" s="61">
        <v>705</v>
      </c>
      <c r="J203" s="61">
        <v>50</v>
      </c>
      <c r="K203" s="61"/>
      <c r="L203" s="61">
        <v>690</v>
      </c>
      <c r="M203" s="61"/>
      <c r="N203" s="61"/>
      <c r="O203" s="61"/>
      <c r="P203" s="61"/>
    </row>
    <row r="204" spans="2:16" ht="18">
      <c r="B204" s="63">
        <v>6</v>
      </c>
      <c r="C204" s="63" t="s">
        <v>1</v>
      </c>
      <c r="D204" s="61" t="s">
        <v>137</v>
      </c>
      <c r="E204" s="61" t="s">
        <v>116</v>
      </c>
      <c r="F204" s="61">
        <v>40</v>
      </c>
      <c r="G204" s="61">
        <v>130</v>
      </c>
      <c r="H204" s="61">
        <v>75</v>
      </c>
      <c r="I204" s="61">
        <v>250</v>
      </c>
      <c r="J204" s="61">
        <v>50</v>
      </c>
      <c r="K204" s="61">
        <v>315</v>
      </c>
      <c r="L204" s="61">
        <v>431</v>
      </c>
      <c r="M204" s="61">
        <v>489</v>
      </c>
      <c r="N204" s="61"/>
      <c r="O204" s="61">
        <v>116</v>
      </c>
      <c r="P204" s="61">
        <f>SUM(E204:L204)</f>
        <v>1291</v>
      </c>
    </row>
    <row r="205" spans="2:16" ht="18">
      <c r="B205" s="63">
        <v>7</v>
      </c>
      <c r="C205" s="63" t="s">
        <v>12</v>
      </c>
      <c r="D205" s="61" t="s">
        <v>137</v>
      </c>
      <c r="E205" s="61" t="s">
        <v>116</v>
      </c>
      <c r="F205" s="61">
        <v>40</v>
      </c>
      <c r="G205" s="61">
        <v>130</v>
      </c>
      <c r="H205" s="61">
        <v>75</v>
      </c>
      <c r="I205" s="61"/>
      <c r="J205" s="61">
        <v>50</v>
      </c>
      <c r="K205" s="61">
        <v>315</v>
      </c>
      <c r="L205" s="61">
        <v>431</v>
      </c>
      <c r="M205" s="61">
        <v>489</v>
      </c>
      <c r="N205" s="61"/>
      <c r="O205" s="61">
        <v>116</v>
      </c>
      <c r="P205" s="61">
        <f>SUM(E205:K205)</f>
        <v>610</v>
      </c>
    </row>
    <row r="206" spans="2:16" ht="18">
      <c r="B206" s="63">
        <v>8</v>
      </c>
      <c r="C206" s="63" t="s">
        <v>20</v>
      </c>
      <c r="D206" s="61" t="s">
        <v>137</v>
      </c>
      <c r="E206" s="61" t="s">
        <v>116</v>
      </c>
      <c r="F206" s="61">
        <v>40</v>
      </c>
      <c r="G206" s="61">
        <v>130</v>
      </c>
      <c r="H206" s="61"/>
      <c r="I206" s="61"/>
      <c r="J206" s="61"/>
      <c r="K206" s="61">
        <v>315</v>
      </c>
      <c r="L206" s="61">
        <v>431</v>
      </c>
      <c r="M206" s="61">
        <v>489</v>
      </c>
      <c r="N206" s="61"/>
      <c r="O206" s="61">
        <v>116</v>
      </c>
      <c r="P206" s="61">
        <f>SUM(E206:K206)</f>
        <v>485</v>
      </c>
    </row>
    <row r="207" spans="2:16" ht="18">
      <c r="B207" s="63"/>
      <c r="C207" s="63"/>
      <c r="D207" s="64"/>
      <c r="E207" s="64"/>
      <c r="F207" s="64"/>
      <c r="G207" s="64"/>
      <c r="H207" s="64"/>
      <c r="I207" s="64"/>
      <c r="J207" s="64"/>
      <c r="K207" s="64" t="s">
        <v>104</v>
      </c>
      <c r="L207" s="64" t="s">
        <v>105</v>
      </c>
      <c r="M207" s="64" t="s">
        <v>104</v>
      </c>
      <c r="N207" s="64" t="s">
        <v>105</v>
      </c>
      <c r="O207" s="64"/>
      <c r="P207" s="64"/>
    </row>
    <row r="208" spans="2:16" ht="18">
      <c r="B208" s="63">
        <v>9</v>
      </c>
      <c r="C208" s="63" t="s">
        <v>84</v>
      </c>
      <c r="D208" s="61" t="s">
        <v>137</v>
      </c>
      <c r="E208" s="61" t="s">
        <v>117</v>
      </c>
      <c r="F208" s="61">
        <v>40</v>
      </c>
      <c r="G208" s="61">
        <v>130</v>
      </c>
      <c r="H208" s="61">
        <v>75</v>
      </c>
      <c r="I208" s="61">
        <v>705</v>
      </c>
      <c r="J208" s="61">
        <v>50</v>
      </c>
      <c r="K208" s="61"/>
      <c r="L208" s="61">
        <v>690</v>
      </c>
      <c r="M208" s="61"/>
      <c r="N208" s="61"/>
      <c r="O208" s="61"/>
      <c r="P208" s="61"/>
    </row>
    <row r="209" spans="2:16" ht="18">
      <c r="B209" s="63">
        <v>10</v>
      </c>
      <c r="C209" s="63" t="s">
        <v>1</v>
      </c>
      <c r="D209" s="61" t="s">
        <v>137</v>
      </c>
      <c r="E209" s="61" t="s">
        <v>117</v>
      </c>
      <c r="F209" s="61">
        <v>40</v>
      </c>
      <c r="G209" s="61">
        <v>130</v>
      </c>
      <c r="H209" s="61">
        <v>75</v>
      </c>
      <c r="I209" s="61">
        <v>250</v>
      </c>
      <c r="J209" s="61">
        <v>50</v>
      </c>
      <c r="K209" s="61">
        <v>315</v>
      </c>
      <c r="L209" s="61">
        <v>431</v>
      </c>
      <c r="M209" s="61">
        <v>489</v>
      </c>
      <c r="N209" s="61"/>
      <c r="O209" s="61">
        <v>116</v>
      </c>
      <c r="P209" s="61">
        <f>SUM(E209:L209)</f>
        <v>1291</v>
      </c>
    </row>
    <row r="210" spans="2:16" ht="18">
      <c r="B210" s="63">
        <v>11</v>
      </c>
      <c r="C210" s="63" t="s">
        <v>12</v>
      </c>
      <c r="D210" s="61" t="s">
        <v>137</v>
      </c>
      <c r="E210" s="61" t="s">
        <v>117</v>
      </c>
      <c r="F210" s="61">
        <v>40</v>
      </c>
      <c r="G210" s="61">
        <v>130</v>
      </c>
      <c r="H210" s="61">
        <v>75</v>
      </c>
      <c r="I210" s="61"/>
      <c r="J210" s="61">
        <v>50</v>
      </c>
      <c r="K210" s="61">
        <v>315</v>
      </c>
      <c r="L210" s="61">
        <v>431</v>
      </c>
      <c r="M210" s="61">
        <v>489</v>
      </c>
      <c r="N210" s="61"/>
      <c r="O210" s="61">
        <v>116</v>
      </c>
      <c r="P210" s="61">
        <f>SUM(E210:K210)</f>
        <v>610</v>
      </c>
    </row>
    <row r="211" spans="2:16" ht="18">
      <c r="B211" s="63">
        <v>12</v>
      </c>
      <c r="C211" s="63" t="s">
        <v>20</v>
      </c>
      <c r="D211" s="61" t="s">
        <v>137</v>
      </c>
      <c r="E211" s="61" t="s">
        <v>117</v>
      </c>
      <c r="F211" s="61">
        <v>40</v>
      </c>
      <c r="G211" s="61">
        <v>130</v>
      </c>
      <c r="H211" s="61"/>
      <c r="I211" s="61"/>
      <c r="J211" s="61"/>
      <c r="K211" s="61">
        <v>315</v>
      </c>
      <c r="L211" s="61">
        <v>431</v>
      </c>
      <c r="M211" s="61">
        <v>489</v>
      </c>
      <c r="N211" s="61"/>
      <c r="O211" s="61">
        <v>116</v>
      </c>
      <c r="P211" s="61">
        <f>SUM(E211:K211)</f>
        <v>485</v>
      </c>
    </row>
    <row r="212" spans="2:16">
      <c r="E212" s="58"/>
      <c r="F212" s="58"/>
      <c r="G212" s="58"/>
      <c r="H212" s="58"/>
      <c r="I212" s="58"/>
      <c r="J212" s="58"/>
    </row>
    <row r="213" spans="2:16">
      <c r="E213" s="58"/>
      <c r="F213" s="58"/>
      <c r="G213" s="58"/>
      <c r="H213" s="58"/>
      <c r="I213" s="58"/>
      <c r="J213" s="58"/>
    </row>
    <row r="214" spans="2:16">
      <c r="E214" s="58"/>
      <c r="F214" s="58"/>
      <c r="G214" s="58"/>
      <c r="H214" s="58"/>
      <c r="I214" s="58"/>
      <c r="J214" s="58"/>
    </row>
    <row r="215" spans="2:16">
      <c r="E215" s="58"/>
      <c r="F215" s="58"/>
      <c r="G215" s="58"/>
      <c r="H215" s="58"/>
      <c r="I215" s="58"/>
      <c r="J215" s="58"/>
    </row>
    <row r="216" spans="2:16">
      <c r="E216" s="58"/>
      <c r="F216" s="58"/>
      <c r="G216" s="58"/>
      <c r="H216" s="58"/>
      <c r="I216" s="58"/>
      <c r="J216" s="58"/>
    </row>
    <row r="217" spans="2:16">
      <c r="E217" s="58"/>
      <c r="F217" s="58"/>
      <c r="G217" s="58"/>
      <c r="H217" s="58"/>
      <c r="I217" s="58"/>
      <c r="J217" s="58"/>
    </row>
    <row r="218" spans="2:16">
      <c r="E218" s="58"/>
      <c r="F218" s="58"/>
      <c r="G218" s="58"/>
      <c r="H218" s="58"/>
      <c r="I218" s="58"/>
      <c r="J218" s="58"/>
    </row>
    <row r="219" spans="2:16">
      <c r="E219" s="58"/>
      <c r="F219" s="58"/>
      <c r="G219" s="58"/>
      <c r="H219" s="58"/>
      <c r="I219" s="58"/>
      <c r="J219" s="58"/>
    </row>
    <row r="220" spans="2:16">
      <c r="E220" s="58"/>
      <c r="F220" s="58"/>
      <c r="G220" s="58"/>
      <c r="H220" s="58"/>
      <c r="I220" s="58"/>
      <c r="J220" s="58"/>
    </row>
    <row r="221" spans="2:16">
      <c r="E221" s="58"/>
      <c r="F221" s="58"/>
      <c r="G221" s="58"/>
      <c r="H221" s="58"/>
      <c r="I221" s="58"/>
      <c r="J221" s="58"/>
    </row>
    <row r="222" spans="2:16">
      <c r="E222" s="58"/>
      <c r="F222" s="58"/>
      <c r="G222" s="58"/>
      <c r="H222" s="58"/>
      <c r="I222" s="58"/>
      <c r="J222" s="58"/>
    </row>
    <row r="223" spans="2:16">
      <c r="E223" s="58"/>
      <c r="F223" s="58"/>
      <c r="G223" s="58"/>
      <c r="H223" s="58"/>
      <c r="I223" s="58"/>
      <c r="J223" s="58"/>
    </row>
    <row r="224" spans="2:16">
      <c r="E224" s="58"/>
      <c r="F224" s="58"/>
      <c r="G224" s="58"/>
      <c r="H224" s="58"/>
      <c r="I224" s="58"/>
      <c r="J224" s="58"/>
    </row>
    <row r="225" spans="5:10">
      <c r="E225" s="58"/>
      <c r="F225" s="58"/>
      <c r="G225" s="58"/>
      <c r="H225" s="58"/>
      <c r="I225" s="58"/>
      <c r="J225" s="58"/>
    </row>
    <row r="226" spans="5:10">
      <c r="E226" s="58"/>
      <c r="F226" s="58"/>
      <c r="G226" s="58"/>
      <c r="H226" s="58"/>
      <c r="I226" s="58"/>
      <c r="J226" s="58"/>
    </row>
    <row r="227" spans="5:10">
      <c r="E227" s="58"/>
      <c r="F227" s="58"/>
      <c r="G227" s="58"/>
      <c r="H227" s="58"/>
      <c r="I227" s="58"/>
      <c r="J227" s="58"/>
    </row>
    <row r="228" spans="5:10">
      <c r="E228" s="58"/>
      <c r="F228" s="58"/>
      <c r="G228" s="58"/>
      <c r="H228" s="58"/>
      <c r="I228" s="58"/>
      <c r="J228" s="58"/>
    </row>
    <row r="229" spans="5:10">
      <c r="E229" s="58"/>
      <c r="F229" s="58"/>
      <c r="G229" s="58"/>
      <c r="H229" s="58"/>
      <c r="I229" s="58"/>
      <c r="J229" s="58"/>
    </row>
    <row r="230" spans="5:10">
      <c r="E230" s="58"/>
      <c r="F230" s="58"/>
      <c r="G230" s="58"/>
      <c r="H230" s="58"/>
      <c r="I230" s="58"/>
      <c r="J230" s="58"/>
    </row>
    <row r="231" spans="5:10">
      <c r="E231" s="58"/>
      <c r="F231" s="58"/>
      <c r="G231" s="58"/>
      <c r="H231" s="58"/>
      <c r="I231" s="58"/>
      <c r="J231" s="58"/>
    </row>
    <row r="232" spans="5:10">
      <c r="E232" s="58"/>
      <c r="F232" s="58"/>
      <c r="G232" s="58"/>
      <c r="H232" s="58"/>
      <c r="I232" s="58"/>
      <c r="J232" s="58"/>
    </row>
    <row r="233" spans="5:10">
      <c r="E233" s="58"/>
      <c r="F233" s="58"/>
      <c r="G233" s="58"/>
      <c r="H233" s="58"/>
      <c r="I233" s="58"/>
      <c r="J233" s="58"/>
    </row>
    <row r="234" spans="5:10">
      <c r="E234" s="58"/>
      <c r="F234" s="58"/>
      <c r="G234" s="58"/>
      <c r="H234" s="58"/>
      <c r="I234" s="58"/>
      <c r="J234" s="58"/>
    </row>
    <row r="235" spans="5:10">
      <c r="E235" s="58"/>
      <c r="F235" s="58"/>
      <c r="G235" s="58"/>
      <c r="H235" s="58"/>
      <c r="I235" s="58"/>
      <c r="J235" s="58"/>
    </row>
    <row r="236" spans="5:10">
      <c r="E236" s="58"/>
      <c r="F236" s="58"/>
      <c r="G236" s="58"/>
      <c r="H236" s="58"/>
      <c r="I236" s="58"/>
      <c r="J236" s="58"/>
    </row>
    <row r="237" spans="5:10">
      <c r="E237" s="58"/>
      <c r="F237" s="58"/>
      <c r="G237" s="58"/>
      <c r="H237" s="58"/>
      <c r="I237" s="58"/>
      <c r="J237" s="58"/>
    </row>
    <row r="238" spans="5:10">
      <c r="E238" s="58"/>
      <c r="F238" s="58"/>
      <c r="G238" s="58"/>
      <c r="H238" s="58"/>
      <c r="I238" s="58"/>
      <c r="J238" s="58"/>
    </row>
    <row r="239" spans="5:10">
      <c r="E239" s="58"/>
      <c r="F239" s="58"/>
      <c r="G239" s="58"/>
      <c r="H239" s="58"/>
      <c r="I239" s="58"/>
      <c r="J239" s="58"/>
    </row>
    <row r="240" spans="5:10">
      <c r="E240" s="58"/>
      <c r="F240" s="58"/>
      <c r="G240" s="58"/>
      <c r="H240" s="58"/>
      <c r="I240" s="58"/>
      <c r="J240" s="58"/>
    </row>
    <row r="241" spans="5:10">
      <c r="E241" s="58"/>
      <c r="F241" s="58"/>
      <c r="G241" s="58"/>
      <c r="H241" s="58"/>
      <c r="I241" s="58"/>
      <c r="J241" s="58"/>
    </row>
    <row r="242" spans="5:10">
      <c r="E242" s="58"/>
      <c r="F242" s="58"/>
      <c r="G242" s="58"/>
      <c r="H242" s="58"/>
      <c r="I242" s="58"/>
      <c r="J242" s="58"/>
    </row>
    <row r="243" spans="5:10">
      <c r="E243" s="58"/>
      <c r="F243" s="58"/>
      <c r="G243" s="58"/>
      <c r="H243" s="58"/>
      <c r="I243" s="58"/>
      <c r="J243" s="58"/>
    </row>
    <row r="244" spans="5:10">
      <c r="E244" s="58"/>
      <c r="F244" s="58"/>
      <c r="G244" s="58"/>
      <c r="H244" s="58"/>
      <c r="I244" s="58"/>
      <c r="J244" s="58"/>
    </row>
    <row r="245" spans="5:10">
      <c r="E245" s="58"/>
      <c r="F245" s="58"/>
      <c r="G245" s="58"/>
      <c r="H245" s="58"/>
      <c r="I245" s="58"/>
      <c r="J245" s="58"/>
    </row>
    <row r="246" spans="5:10">
      <c r="E246" s="58"/>
      <c r="F246" s="58"/>
      <c r="G246" s="58"/>
      <c r="H246" s="58"/>
      <c r="I246" s="58"/>
      <c r="J246" s="58"/>
    </row>
    <row r="247" spans="5:10">
      <c r="E247" s="58"/>
      <c r="F247" s="58"/>
      <c r="G247" s="58"/>
      <c r="H247" s="58"/>
      <c r="I247" s="58"/>
      <c r="J247" s="58"/>
    </row>
    <row r="248" spans="5:10">
      <c r="J248" s="58"/>
    </row>
  </sheetData>
  <mergeCells count="2">
    <mergeCell ref="K1:L1"/>
    <mergeCell ref="M1:N1"/>
  </mergeCells>
  <pageMargins left="0.7" right="0.7" top="0.75" bottom="0.75" header="0.3" footer="0.3"/>
  <pageSetup orientation="portrait" horizontalDpi="1200" verticalDpi="12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2F174C-776C-420F-AAD7-D0E57F0A1552}">
  <dimension ref="A2:L32"/>
  <sheetViews>
    <sheetView rightToLeft="1" workbookViewId="0">
      <selection activeCell="F9" sqref="F9"/>
    </sheetView>
  </sheetViews>
  <sheetFormatPr defaultRowHeight="15"/>
  <cols>
    <col min="1" max="1" width="36.42578125" bestFit="1" customWidth="1"/>
  </cols>
  <sheetData>
    <row r="2" spans="1:12">
      <c r="A2" s="51"/>
      <c r="B2" s="52"/>
      <c r="C2" s="52" t="s">
        <v>111</v>
      </c>
      <c r="D2" s="52"/>
      <c r="E2" s="52" t="s">
        <v>112</v>
      </c>
      <c r="F2" s="52" t="s">
        <v>113</v>
      </c>
      <c r="G2" s="52"/>
      <c r="H2" s="52"/>
      <c r="I2" s="52"/>
      <c r="J2" s="52"/>
      <c r="K2" s="52"/>
      <c r="L2" s="52"/>
    </row>
    <row r="3" spans="1:12" ht="18">
      <c r="A3" s="36" t="s">
        <v>49</v>
      </c>
      <c r="B3" s="37"/>
      <c r="C3" s="47">
        <v>100</v>
      </c>
      <c r="D3" s="47"/>
      <c r="E3" s="47">
        <v>15</v>
      </c>
      <c r="F3" s="47">
        <v>50</v>
      </c>
      <c r="G3" s="37"/>
      <c r="H3" s="37"/>
      <c r="I3" s="37"/>
      <c r="J3" s="37"/>
      <c r="K3" s="37"/>
      <c r="L3" s="37">
        <f>SUM(B3:H3)</f>
        <v>165</v>
      </c>
    </row>
    <row r="4" spans="1:12">
      <c r="A4" s="38"/>
      <c r="B4" s="40"/>
      <c r="C4" s="46"/>
      <c r="D4" s="46"/>
      <c r="E4" s="46"/>
      <c r="F4" s="46"/>
      <c r="G4" s="40"/>
      <c r="H4" s="40"/>
      <c r="I4" s="40"/>
      <c r="J4" s="40"/>
      <c r="K4" s="40"/>
      <c r="L4" s="40"/>
    </row>
    <row r="5" spans="1:12" ht="18">
      <c r="A5" s="36" t="s">
        <v>50</v>
      </c>
      <c r="B5" s="37"/>
      <c r="C5" s="47">
        <v>100</v>
      </c>
      <c r="D5" s="47"/>
      <c r="E5" s="47">
        <v>15</v>
      </c>
      <c r="F5" s="47"/>
      <c r="G5" s="37"/>
      <c r="H5" s="37"/>
      <c r="I5" s="37"/>
      <c r="J5" s="37"/>
      <c r="K5" s="37"/>
      <c r="L5" s="37">
        <f>SUM(B5:H5)</f>
        <v>115</v>
      </c>
    </row>
    <row r="6" spans="1:12">
      <c r="A6" s="38"/>
      <c r="B6" s="40"/>
      <c r="C6" s="46"/>
      <c r="D6" s="46"/>
      <c r="E6" s="46"/>
      <c r="F6" s="46"/>
      <c r="G6" s="40"/>
      <c r="H6" s="40"/>
      <c r="I6" s="40"/>
      <c r="J6" s="40"/>
      <c r="K6" s="40"/>
      <c r="L6" s="40"/>
    </row>
    <row r="7" spans="1:12" ht="18">
      <c r="A7" s="36" t="s">
        <v>56</v>
      </c>
      <c r="B7" s="37"/>
      <c r="C7" s="47">
        <v>100</v>
      </c>
      <c r="D7" s="47"/>
      <c r="E7" s="47"/>
      <c r="F7" s="47"/>
      <c r="G7" s="37"/>
      <c r="H7" s="37"/>
      <c r="I7" s="37"/>
      <c r="J7" s="37"/>
      <c r="K7" s="37"/>
      <c r="L7" s="37">
        <f>SUM(B7:H7)</f>
        <v>100</v>
      </c>
    </row>
    <row r="8" spans="1:12">
      <c r="A8" s="38"/>
      <c r="B8" s="40"/>
      <c r="C8" s="46"/>
      <c r="D8" s="46"/>
      <c r="E8" s="46"/>
      <c r="F8" s="46"/>
      <c r="G8" s="40"/>
      <c r="H8" s="40"/>
      <c r="I8" s="40"/>
      <c r="J8" s="40"/>
      <c r="K8" s="40"/>
      <c r="L8" s="40"/>
    </row>
    <row r="9" spans="1:12" ht="18">
      <c r="A9" s="36" t="s">
        <v>60</v>
      </c>
      <c r="B9" s="37"/>
      <c r="C9" s="47">
        <v>200</v>
      </c>
      <c r="D9" s="47"/>
      <c r="E9" s="47"/>
      <c r="F9" s="47">
        <v>50</v>
      </c>
      <c r="G9" s="37"/>
      <c r="H9" s="37"/>
      <c r="I9" s="37"/>
      <c r="J9" s="37"/>
      <c r="K9" s="37"/>
      <c r="L9" s="37">
        <f>SUM(B9:H9)</f>
        <v>250</v>
      </c>
    </row>
    <row r="10" spans="1:12" ht="18">
      <c r="A10" s="41"/>
      <c r="B10" s="40"/>
      <c r="C10" s="46"/>
      <c r="D10" s="46"/>
      <c r="E10" s="46"/>
      <c r="F10" s="46"/>
      <c r="G10" s="40"/>
      <c r="H10" s="40"/>
      <c r="I10" s="40"/>
      <c r="J10" s="40"/>
      <c r="K10" s="40"/>
      <c r="L10" s="40"/>
    </row>
    <row r="11" spans="1:12" ht="18">
      <c r="A11" s="36" t="s">
        <v>64</v>
      </c>
      <c r="B11" s="37"/>
      <c r="C11" s="47">
        <v>200</v>
      </c>
      <c r="D11" s="47"/>
      <c r="E11" s="47"/>
      <c r="F11" s="47"/>
      <c r="G11" s="37"/>
      <c r="H11" s="37"/>
      <c r="I11" s="37"/>
      <c r="J11" s="37"/>
      <c r="K11" s="37"/>
      <c r="L11" s="37">
        <f>SUM(B11:H11)</f>
        <v>200</v>
      </c>
    </row>
    <row r="12" spans="1:12">
      <c r="A12" s="42"/>
      <c r="B12" s="40"/>
      <c r="C12" s="46"/>
      <c r="D12" s="46"/>
      <c r="E12" s="46"/>
      <c r="F12" s="46"/>
      <c r="G12" s="40"/>
      <c r="H12" s="40"/>
      <c r="I12" s="40"/>
      <c r="J12" s="40"/>
      <c r="K12" s="40"/>
      <c r="L12" s="40"/>
    </row>
    <row r="13" spans="1:12" ht="18">
      <c r="A13" s="36" t="s">
        <v>68</v>
      </c>
      <c r="B13" s="37"/>
      <c r="C13" s="47">
        <v>20</v>
      </c>
      <c r="D13" s="47"/>
      <c r="E13" s="47"/>
      <c r="F13" s="47"/>
      <c r="G13" s="37"/>
      <c r="H13" s="37"/>
      <c r="I13" s="37"/>
      <c r="J13" s="37"/>
      <c r="K13" s="37"/>
      <c r="L13" s="37">
        <f>SUM(B13:H13)</f>
        <v>20</v>
      </c>
    </row>
    <row r="14" spans="1:12">
      <c r="A14" s="38"/>
      <c r="B14" s="40"/>
      <c r="C14" s="46"/>
      <c r="D14" s="46"/>
      <c r="E14" s="46"/>
      <c r="F14" s="46"/>
      <c r="G14" s="40"/>
      <c r="H14" s="40"/>
      <c r="I14" s="40"/>
      <c r="J14" s="40"/>
      <c r="K14" s="40"/>
      <c r="L14" s="40"/>
    </row>
    <row r="15" spans="1:12" ht="18">
      <c r="A15" s="36" t="s">
        <v>73</v>
      </c>
      <c r="B15" s="37"/>
      <c r="C15" s="47">
        <v>50</v>
      </c>
      <c r="D15" s="47"/>
      <c r="E15" s="47"/>
      <c r="F15" s="47"/>
      <c r="G15" s="37"/>
      <c r="H15" s="37"/>
      <c r="I15" s="37"/>
      <c r="J15" s="37"/>
      <c r="K15" s="37"/>
      <c r="L15" s="37">
        <f>SUM(B15:H15)</f>
        <v>50</v>
      </c>
    </row>
    <row r="16" spans="1:12">
      <c r="A16" s="2"/>
      <c r="B16" s="33"/>
      <c r="C16" s="49"/>
      <c r="D16" s="49"/>
      <c r="E16" s="49"/>
      <c r="F16" s="49"/>
      <c r="G16" s="33"/>
      <c r="H16" s="33"/>
      <c r="I16" s="33"/>
      <c r="J16" s="33"/>
      <c r="K16" s="33"/>
      <c r="L16" s="33"/>
    </row>
    <row r="17" spans="1:12">
      <c r="A17" s="35" t="s">
        <v>103</v>
      </c>
      <c r="B17" s="33"/>
      <c r="C17" s="49">
        <v>20</v>
      </c>
      <c r="D17" s="49"/>
      <c r="E17" s="49"/>
      <c r="F17" s="49"/>
      <c r="G17" s="33"/>
      <c r="H17" s="33"/>
      <c r="I17" s="33"/>
      <c r="J17" s="33"/>
      <c r="K17" s="33"/>
      <c r="L17" s="33"/>
    </row>
    <row r="18" spans="1:12">
      <c r="A18" s="2"/>
      <c r="B18" s="33"/>
      <c r="C18" s="49"/>
      <c r="D18" s="49"/>
      <c r="E18" s="49"/>
      <c r="F18" s="49"/>
      <c r="G18" s="33"/>
      <c r="H18" s="33"/>
      <c r="I18" s="33"/>
      <c r="J18" s="33"/>
      <c r="K18" s="33"/>
      <c r="L18" s="33"/>
    </row>
    <row r="19" spans="1:12">
      <c r="A19" s="2"/>
      <c r="B19" s="33"/>
      <c r="C19" s="49"/>
      <c r="D19" s="49"/>
      <c r="E19" s="49"/>
      <c r="F19" s="49"/>
      <c r="G19" s="33"/>
      <c r="H19" s="33"/>
      <c r="I19" s="33"/>
      <c r="J19" s="33"/>
      <c r="K19" s="33"/>
      <c r="L19" s="33"/>
    </row>
    <row r="20" spans="1:12">
      <c r="A20" s="2"/>
      <c r="B20" s="33"/>
      <c r="C20" s="49"/>
      <c r="D20" s="49"/>
      <c r="E20" s="49"/>
      <c r="F20" s="49"/>
      <c r="G20" s="33"/>
      <c r="H20" s="33"/>
      <c r="I20" s="33"/>
      <c r="J20" s="33"/>
      <c r="K20" s="33"/>
      <c r="L20" s="33"/>
    </row>
    <row r="21" spans="1:12">
      <c r="A21" s="2"/>
      <c r="B21" s="33"/>
      <c r="C21" s="49"/>
      <c r="D21" s="49"/>
      <c r="E21" s="49"/>
      <c r="F21" s="49"/>
      <c r="G21" s="33"/>
      <c r="H21" s="33"/>
      <c r="I21" s="33"/>
      <c r="J21" s="33"/>
      <c r="K21" s="33"/>
      <c r="L21" s="33"/>
    </row>
    <row r="22" spans="1:12">
      <c r="A22" s="2"/>
      <c r="B22" s="33"/>
      <c r="C22" s="49"/>
      <c r="D22" s="49"/>
      <c r="E22" s="49"/>
      <c r="F22" s="49"/>
      <c r="G22" s="33"/>
      <c r="H22" s="33"/>
      <c r="I22" s="33"/>
      <c r="J22" s="33"/>
      <c r="K22" s="33"/>
      <c r="L22" s="33"/>
    </row>
    <row r="23" spans="1:12">
      <c r="A23" s="2"/>
      <c r="B23" s="33"/>
      <c r="C23" s="49"/>
      <c r="D23" s="49"/>
      <c r="E23" s="49"/>
      <c r="F23" s="49"/>
      <c r="G23" s="33"/>
      <c r="H23" s="33"/>
      <c r="I23" s="33"/>
      <c r="J23" s="33"/>
      <c r="K23" s="33"/>
      <c r="L23" s="33"/>
    </row>
    <row r="24" spans="1:12">
      <c r="A24" s="2"/>
      <c r="B24" s="33"/>
      <c r="C24" s="49"/>
      <c r="D24" s="49"/>
      <c r="E24" s="49"/>
      <c r="F24" s="49"/>
      <c r="G24" s="33"/>
      <c r="H24" s="33"/>
      <c r="I24" s="33"/>
      <c r="J24" s="33"/>
      <c r="K24" s="33"/>
      <c r="L24" s="33"/>
    </row>
    <row r="25" spans="1:12">
      <c r="A25" s="2"/>
      <c r="B25" s="33"/>
      <c r="C25" s="49"/>
      <c r="D25" s="49"/>
      <c r="E25" s="49"/>
      <c r="F25" s="49"/>
      <c r="G25" s="33"/>
      <c r="H25" s="33"/>
      <c r="I25" s="33"/>
      <c r="J25" s="33"/>
      <c r="K25" s="33"/>
      <c r="L25" s="33"/>
    </row>
    <row r="26" spans="1:12">
      <c r="A26" s="2"/>
      <c r="B26" s="33"/>
      <c r="C26" s="49"/>
      <c r="D26" s="49"/>
      <c r="E26" s="49"/>
      <c r="F26" s="49"/>
      <c r="G26" s="33"/>
      <c r="H26" s="33"/>
      <c r="I26" s="33"/>
      <c r="J26" s="33"/>
      <c r="K26" s="33"/>
      <c r="L26" s="33"/>
    </row>
    <row r="27" spans="1:12">
      <c r="A27" s="2"/>
      <c r="B27" s="33"/>
      <c r="C27" s="49"/>
      <c r="D27" s="49"/>
      <c r="E27" s="49"/>
      <c r="F27" s="49"/>
      <c r="G27" s="33"/>
      <c r="H27" s="33"/>
      <c r="I27" s="33"/>
      <c r="J27" s="33"/>
      <c r="K27" s="33"/>
      <c r="L27" s="33"/>
    </row>
    <row r="28" spans="1:12">
      <c r="A28" s="2"/>
      <c r="B28" s="33"/>
      <c r="C28" s="49"/>
      <c r="D28" s="49"/>
      <c r="E28" s="49"/>
      <c r="F28" s="49"/>
      <c r="G28" s="33"/>
      <c r="H28" s="33"/>
      <c r="I28" s="33"/>
      <c r="J28" s="33"/>
      <c r="K28" s="33"/>
      <c r="L28" s="33"/>
    </row>
    <row r="29" spans="1:12">
      <c r="A29" s="2"/>
      <c r="B29" s="33"/>
      <c r="C29" s="49"/>
      <c r="D29" s="49"/>
      <c r="E29" s="49"/>
      <c r="F29" s="49"/>
      <c r="G29" s="33"/>
      <c r="H29" s="33"/>
      <c r="I29" s="33"/>
      <c r="J29" s="33"/>
      <c r="K29" s="33"/>
      <c r="L29" s="33"/>
    </row>
    <row r="30" spans="1:12">
      <c r="A30" s="2"/>
      <c r="B30" s="33"/>
      <c r="C30" s="49"/>
      <c r="D30" s="49"/>
      <c r="E30" s="49"/>
      <c r="F30" s="49"/>
      <c r="G30" s="33"/>
      <c r="H30" s="33"/>
      <c r="I30" s="33"/>
      <c r="J30" s="33"/>
      <c r="K30" s="33"/>
      <c r="L30" s="33"/>
    </row>
    <row r="31" spans="1:12">
      <c r="A31" s="2"/>
      <c r="B31" s="33"/>
      <c r="C31" s="49"/>
      <c r="D31" s="49"/>
      <c r="E31" s="49"/>
      <c r="F31" s="49"/>
      <c r="G31" s="33"/>
      <c r="H31" s="33"/>
      <c r="I31" s="33"/>
      <c r="J31" s="33"/>
      <c r="K31" s="33"/>
      <c r="L31" s="33"/>
    </row>
    <row r="32" spans="1:12">
      <c r="A32" s="2"/>
      <c r="B32" s="33"/>
      <c r="C32" s="49"/>
      <c r="D32" s="49"/>
      <c r="E32" s="49"/>
      <c r="F32" s="49"/>
      <c r="G32" s="33"/>
      <c r="H32" s="33"/>
      <c r="I32" s="33"/>
      <c r="J32" s="33"/>
      <c r="K32" s="33"/>
      <c r="L32" s="33"/>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ورقة1</vt:lpstr>
      <vt:lpstr>ورقة2</vt:lpstr>
      <vt:lpstr>ورقة4</vt:lpstr>
      <vt:lpstr>ورقة5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Mutaz Mergani</dc:creator>
  <cp:lastModifiedBy>BANDAR A. ALGHAMDI</cp:lastModifiedBy>
  <dcterms:created xsi:type="dcterms:W3CDTF">2026-09-03T09:25:22Z</dcterms:created>
  <dcterms:modified xsi:type="dcterms:W3CDTF">2026-09-29T09:15:53Z</dcterms:modified>
</cp:coreProperties>
</file>